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Fleet Overview" sheetId="1" state="visible" r:id="rId1"/>
    <sheet xmlns:r="http://schemas.openxmlformats.org/officeDocument/2006/relationships" name="Service Log" sheetId="2" state="visible" r:id="rId2"/>
    <sheet xmlns:r="http://schemas.openxmlformats.org/officeDocument/2006/relationships" name="Vehicle Dashboard" sheetId="3" state="visible" r:id="rId3"/>
    <sheet xmlns:r="http://schemas.openxmlformats.org/officeDocument/2006/relationships" name="Fuel Log" sheetId="4" state="visible" r:id="rId4"/>
    <sheet xmlns:r="http://schemas.openxmlformats.org/officeDocument/2006/relationships" name="Major Systems Tracker" sheetId="5" state="visible" r:id="rId5"/>
    <sheet xmlns:r="http://schemas.openxmlformats.org/officeDocument/2006/relationships" name="Category Guide" sheetId="6" state="visible" r:id="rId6"/>
  </sheets>
  <definedNames>
    <definedName name="_xlnm._FilterDatabase" localSheetId="1" hidden="1">'Service Log'!$A$3:$J$500</definedName>
    <definedName name="_xlnm._FilterDatabase" localSheetId="3" hidden="1">'Fuel Log'!$A$3:$G$500</definedName>
    <definedName name="_xlnm._FilterDatabase" localSheetId="4" hidden="1">'Major Systems Tracker'!$A$3:$J$300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9">
    <numFmt numFmtId="164" formatCode="\$#,##0.00"/>
    <numFmt numFmtId="165" formatCode="0.0"/>
    <numFmt numFmtId="166" formatCode="0.0%"/>
    <numFmt numFmtId="167" formatCode="mm/dd/yyyy"/>
    <numFmt numFmtId="168" formatCode="0.0&quot; MPG&quot;"/>
    <numFmt numFmtId="169" formatCode="0.000"/>
    <numFmt numFmtId="170" formatCode="\$#,##0.000"/>
    <numFmt numFmtId="171" formatCode="MM/DD/YYYY"/>
    <numFmt numFmtId="172" formatCode="yyyy-mm-dd h:mm:ss"/>
  </numFmts>
  <fonts count="14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ptos"/>
      <charset val="1"/>
      <family val="0"/>
      <b val="1"/>
      <color rgb="FFFFFFFF"/>
      <sz val="16"/>
    </font>
    <font>
      <name val="Aptos"/>
      <charset val="1"/>
      <family val="0"/>
      <i val="1"/>
      <color rgb="FFA0AEC0"/>
      <sz val="10"/>
    </font>
    <font>
      <name val="Aptos"/>
      <charset val="1"/>
      <family val="0"/>
      <b val="1"/>
      <color rgb="FFFFFFFF"/>
      <sz val="10"/>
    </font>
    <font>
      <name val="Aptos"/>
      <charset val="1"/>
      <family val="0"/>
      <color rgb="FF1A202C"/>
      <sz val="10"/>
    </font>
    <font>
      <name val="Aptos"/>
      <charset val="1"/>
      <family val="0"/>
      <b val="1"/>
      <color rgb="FFFFFFFF"/>
      <sz val="12"/>
    </font>
    <font>
      <name val="Aptos"/>
      <charset val="1"/>
      <family val="0"/>
      <b val="1"/>
      <color rgb="FF0D1B2A"/>
      <sz val="12"/>
    </font>
    <font>
      <name val="Aptos"/>
      <charset val="1"/>
      <family val="0"/>
      <b val="1"/>
      <color rgb="FF00B4D8"/>
      <sz val="13"/>
    </font>
    <font>
      <name val="Aptos"/>
      <charset val="1"/>
      <family val="0"/>
      <b val="1"/>
      <color rgb="FFFFFFFF"/>
      <sz val="9"/>
    </font>
    <font>
      <name val="Aptos"/>
      <charset val="1"/>
      <family val="0"/>
      <b val="1"/>
      <color rgb="FF0D1B2A"/>
      <sz val="14"/>
    </font>
    <font>
      <name val="Aptos"/>
      <charset val="1"/>
      <family val="0"/>
      <b val="1"/>
      <color rgb="FF1A202C"/>
      <sz val="10"/>
    </font>
  </fonts>
  <fills count="12">
    <fill>
      <patternFill/>
    </fill>
    <fill>
      <patternFill patternType="gray125"/>
    </fill>
    <fill>
      <patternFill patternType="solid">
        <fgColor rgb="FF0D1B2A"/>
        <bgColor rgb="FF1A202C"/>
      </patternFill>
    </fill>
    <fill>
      <patternFill patternType="solid">
        <fgColor rgb="FF1B2838"/>
        <bgColor rgb="FF1A202C"/>
      </patternFill>
    </fill>
    <fill>
      <patternFill patternType="solid">
        <fgColor rgb="FF1E3A5F"/>
        <bgColor rgb="FF1B2838"/>
      </patternFill>
    </fill>
    <fill>
      <patternFill patternType="solid">
        <fgColor rgb="FFFFFFFF"/>
        <bgColor rgb="FFEDF2F7"/>
      </patternFill>
    </fill>
    <fill>
      <patternFill patternType="solid">
        <fgColor rgb="FFEDF2F7"/>
        <bgColor rgb="FFFFFFFF"/>
      </patternFill>
    </fill>
    <fill>
      <patternFill patternType="solid">
        <fgColor rgb="FF00B4D8"/>
        <bgColor rgb="FF33CCCC"/>
      </patternFill>
    </fill>
    <fill>
      <patternFill patternType="solid">
        <fgColor rgb="FFF0A500"/>
        <bgColor rgb="FFFFCC00"/>
      </patternFill>
    </fill>
    <fill>
      <patternFill patternType="solid">
        <fgColor rgb="FFE63946"/>
        <bgColor rgb="FFFF6B6B"/>
      </patternFill>
    </fill>
    <fill>
      <patternFill patternType="solid">
        <fgColor rgb="FF2DC653"/>
        <bgColor rgb="FF33CCCC"/>
      </patternFill>
    </fill>
    <fill>
      <patternFill patternType="solid">
        <fgColor rgb="FF6366F1"/>
        <bgColor rgb="FF7C3AED"/>
      </patternFill>
    </fill>
  </fills>
  <borders count="13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/>
      <right/>
      <top/>
      <bottom style="medium">
        <color rgb="FF00B4D8"/>
      </bottom>
      <diagonal/>
    </border>
    <border>
      <left style="thin">
        <color rgb="FFCBD5E1"/>
      </left>
      <right style="thin">
        <color rgb="FFCBD5E1"/>
      </right>
      <top/>
      <bottom style="medium">
        <color rgb="FF00B4D8"/>
      </bottom>
      <diagonal/>
    </border>
    <border>
      <left style="thin">
        <color rgb="FFCBD5E1"/>
      </left>
      <right style="thin">
        <color rgb="FFCBD5E1"/>
      </right>
      <top/>
      <bottom style="medium">
        <color rgb="FF1E3A5F"/>
      </bottom>
      <diagonal/>
    </border>
    <border>
      <left style="thin">
        <color rgb="FFCBD5E1"/>
      </left>
      <right style="thin">
        <color rgb="FFCBD5E1"/>
      </right>
      <top/>
      <bottom style="medium">
        <color rgb="FFF0A500"/>
      </bottom>
      <diagonal/>
    </border>
    <border>
      <left style="thin">
        <color rgb="FFCBD5E1"/>
      </left>
      <right style="thin">
        <color rgb="FFCBD5E1"/>
      </right>
      <top/>
      <bottom style="medium">
        <color rgb="FFE63946"/>
      </bottom>
      <diagonal/>
    </border>
    <border>
      <left style="thin">
        <color rgb="FFCBD5E1"/>
      </left>
      <right style="thin">
        <color rgb="FFCBD5E1"/>
      </right>
      <top/>
      <bottom style="medium">
        <color rgb="FF2DC653"/>
      </bottom>
      <diagonal/>
    </border>
    <border>
      <left style="thin">
        <color rgb="FFCBD5E1"/>
      </left>
      <right style="thin">
        <color rgb="FFCBD5E1"/>
      </right>
      <top/>
      <bottom style="medium">
        <color rgb="FF6366F1"/>
      </bottom>
      <diagonal/>
    </border>
    <border>
      <left/>
      <right/>
      <top style="thin">
        <color rgb="FFCBD5E1"/>
      </top>
      <bottom/>
      <diagonal/>
    </border>
    <border>
      <left/>
      <right style="thin">
        <color rgb="FFCBD5E1"/>
      </right>
      <top style="thin">
        <color rgb="FFCBD5E1"/>
      </top>
      <bottom/>
      <diagonal/>
    </border>
    <border>
      <left/>
      <right/>
      <top style="thin">
        <color rgb="FFCBD5E1"/>
      </top>
      <bottom style="thin">
        <color rgb="FFCBD5E1"/>
      </bottom>
      <diagonal/>
    </border>
    <border>
      <left/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05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general" vertical="center" wrapText="1"/>
    </xf>
    <xf numFmtId="164" fontId="7" fillId="5" borderId="1" applyAlignment="1" pivotButton="0" quotePrefix="0" xfId="0">
      <alignment horizontal="center" vertical="center"/>
    </xf>
    <xf numFmtId="3" fontId="7" fillId="5" borderId="1" applyAlignment="1" pivotButton="0" quotePrefix="0" xfId="0">
      <alignment horizontal="center" vertical="center"/>
    </xf>
    <xf numFmtId="165" fontId="7" fillId="5" borderId="1" applyAlignment="1" pivotButton="0" quotePrefix="0" xfId="0">
      <alignment horizontal="center" vertical="center"/>
    </xf>
    <xf numFmtId="166" fontId="7" fillId="5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general" vertical="center" wrapText="1"/>
    </xf>
    <xf numFmtId="164" fontId="7" fillId="6" borderId="1" applyAlignment="1" pivotButton="0" quotePrefix="0" xfId="0">
      <alignment horizontal="center" vertical="center"/>
    </xf>
    <xf numFmtId="3" fontId="7" fillId="6" borderId="1" applyAlignment="1" pivotButton="0" quotePrefix="0" xfId="0">
      <alignment horizontal="center" vertical="center"/>
    </xf>
    <xf numFmtId="165" fontId="7" fillId="6" borderId="1" applyAlignment="1" pivotButton="0" quotePrefix="0" xfId="0">
      <alignment horizontal="center" vertical="center"/>
    </xf>
    <xf numFmtId="166" fontId="7" fillId="6" borderId="1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/>
    </xf>
    <xf numFmtId="164" fontId="6" fillId="2" borderId="1" applyAlignment="1" pivotButton="0" quotePrefix="0" xfId="0">
      <alignment horizontal="center" vertical="center"/>
    </xf>
    <xf numFmtId="166" fontId="6" fillId="2" borderId="1" applyAlignment="1" pivotButton="0" quotePrefix="0" xfId="0">
      <alignment horizontal="center" vertical="center"/>
    </xf>
    <xf numFmtId="0" fontId="8" fillId="4" borderId="0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 wrapText="1"/>
    </xf>
    <xf numFmtId="167" fontId="7" fillId="6" borderId="1" applyAlignment="1" pivotButton="0" quotePrefix="0" xfId="0">
      <alignment horizontal="center" vertical="center"/>
    </xf>
    <xf numFmtId="167" fontId="7" fillId="5" borderId="1" applyAlignment="1" pivotButton="0" quotePrefix="0" xfId="0">
      <alignment horizontal="center" vertical="center"/>
    </xf>
    <xf numFmtId="0" fontId="9" fillId="0" borderId="0" applyAlignment="1" pivotButton="0" quotePrefix="0" xfId="0">
      <alignment horizontal="left" vertical="center" wrapText="1"/>
    </xf>
    <xf numFmtId="0" fontId="10" fillId="6" borderId="2" applyAlignment="1" pivotButton="0" quotePrefix="0" xfId="0">
      <alignment horizontal="center" vertical="center"/>
    </xf>
    <xf numFmtId="0" fontId="11" fillId="7" borderId="1" applyAlignment="1" pivotButton="0" quotePrefix="0" xfId="0">
      <alignment horizontal="center" vertical="center"/>
    </xf>
    <xf numFmtId="0" fontId="11" fillId="4" borderId="1" applyAlignment="1" pivotButton="0" quotePrefix="0" xfId="0">
      <alignment horizontal="center" vertical="center"/>
    </xf>
    <xf numFmtId="0" fontId="11" fillId="8" borderId="1" applyAlignment="1" pivotButton="0" quotePrefix="0" xfId="0">
      <alignment horizontal="center" vertical="center"/>
    </xf>
    <xf numFmtId="0" fontId="11" fillId="9" borderId="1" applyAlignment="1" pivotButton="0" quotePrefix="0" xfId="0">
      <alignment horizontal="center" vertical="center"/>
    </xf>
    <xf numFmtId="0" fontId="11" fillId="10" borderId="1" applyAlignment="1" pivotButton="0" quotePrefix="0" xfId="0">
      <alignment horizontal="center" vertical="center"/>
    </xf>
    <xf numFmtId="0" fontId="11" fillId="11" borderId="1" applyAlignment="1" pivotButton="0" quotePrefix="0" xfId="0">
      <alignment horizontal="center" vertical="center"/>
    </xf>
    <xf numFmtId="164" fontId="12" fillId="0" borderId="3" applyAlignment="1" pivotButton="0" quotePrefix="0" xfId="0">
      <alignment horizontal="center" vertical="center"/>
    </xf>
    <xf numFmtId="3" fontId="12" fillId="0" borderId="4" applyAlignment="1" pivotButton="0" quotePrefix="0" xfId="0">
      <alignment horizontal="center" vertical="center"/>
    </xf>
    <xf numFmtId="164" fontId="12" fillId="0" borderId="5" applyAlignment="1" pivotButton="0" quotePrefix="0" xfId="0">
      <alignment horizontal="center" vertical="center"/>
    </xf>
    <xf numFmtId="164" fontId="12" fillId="0" borderId="6" applyAlignment="1" pivotButton="0" quotePrefix="0" xfId="0">
      <alignment horizontal="center" vertical="center"/>
    </xf>
    <xf numFmtId="3" fontId="12" fillId="0" borderId="7" applyAlignment="1" pivotButton="0" quotePrefix="0" xfId="0">
      <alignment horizontal="center" vertical="center"/>
    </xf>
    <xf numFmtId="168" fontId="12" fillId="0" borderId="8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13" fillId="0" borderId="1" applyAlignment="1" pivotButton="0" quotePrefix="0" xfId="0">
      <alignment horizontal="general" vertical="bottom"/>
    </xf>
    <xf numFmtId="164" fontId="0" fillId="6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164" fontId="0" fillId="5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8" fillId="2" borderId="1" applyAlignment="1" pivotButton="0" quotePrefix="0" xfId="0">
      <alignment horizontal="left" vertical="center"/>
    </xf>
    <xf numFmtId="169" fontId="7" fillId="6" borderId="1" applyAlignment="1" pivotButton="0" quotePrefix="0" xfId="0">
      <alignment horizontal="center" vertical="center"/>
    </xf>
    <xf numFmtId="170" fontId="7" fillId="6" borderId="1" applyAlignment="1" pivotButton="0" quotePrefix="0" xfId="0">
      <alignment horizontal="general" vertical="center" wrapText="1"/>
    </xf>
    <xf numFmtId="169" fontId="7" fillId="5" borderId="1" applyAlignment="1" pivotButton="0" quotePrefix="0" xfId="0">
      <alignment horizontal="center" vertical="center"/>
    </xf>
    <xf numFmtId="170" fontId="7" fillId="5" borderId="1" applyAlignment="1" pivotButton="0" quotePrefix="0" xfId="0">
      <alignment horizontal="general" vertical="center" wrapText="1"/>
    </xf>
    <xf numFmtId="0" fontId="13" fillId="6" borderId="1" applyAlignment="1" pivotButton="0" quotePrefix="0" xfId="0">
      <alignment horizontal="general" vertical="center" wrapText="1"/>
    </xf>
    <xf numFmtId="0" fontId="13" fillId="5" borderId="1" applyAlignment="1" pivotButton="0" quotePrefix="0" xfId="0">
      <alignment horizontal="general" vertical="center" wrapText="1"/>
    </xf>
    <xf numFmtId="0" fontId="13" fillId="6" borderId="1" applyAlignment="1" pivotButton="0" quotePrefix="0" xfId="0">
      <alignment horizontal="general" vertical="bottom"/>
    </xf>
    <xf numFmtId="0" fontId="13" fillId="5" borderId="1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general" vertical="center" wrapText="1"/>
    </xf>
    <xf numFmtId="164" fontId="7" fillId="5" borderId="1" applyAlignment="1" pivotButton="0" quotePrefix="0" xfId="0">
      <alignment horizontal="center" vertical="center"/>
    </xf>
    <xf numFmtId="3" fontId="7" fillId="5" borderId="1" applyAlignment="1" pivotButton="0" quotePrefix="0" xfId="0">
      <alignment horizontal="center" vertical="center"/>
    </xf>
    <xf numFmtId="165" fontId="7" fillId="5" borderId="1" applyAlignment="1" pivotButton="0" quotePrefix="0" xfId="0">
      <alignment horizontal="center" vertical="center"/>
    </xf>
    <xf numFmtId="166" fontId="7" fillId="5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general" vertical="center" wrapText="1"/>
    </xf>
    <xf numFmtId="164" fontId="7" fillId="6" borderId="1" applyAlignment="1" pivotButton="0" quotePrefix="0" xfId="0">
      <alignment horizontal="center" vertical="center"/>
    </xf>
    <xf numFmtId="3" fontId="7" fillId="6" borderId="1" applyAlignment="1" pivotButton="0" quotePrefix="0" xfId="0">
      <alignment horizontal="center" vertical="center"/>
    </xf>
    <xf numFmtId="165" fontId="7" fillId="6" borderId="1" applyAlignment="1" pivotButton="0" quotePrefix="0" xfId="0">
      <alignment horizontal="center" vertical="center"/>
    </xf>
    <xf numFmtId="166" fontId="7" fillId="6" borderId="1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/>
    </xf>
    <xf numFmtId="164" fontId="6" fillId="2" borderId="1" applyAlignment="1" pivotButton="0" quotePrefix="0" xfId="0">
      <alignment horizontal="center" vertical="center"/>
    </xf>
    <xf numFmtId="166" fontId="6" fillId="2" borderId="1" applyAlignment="1" pivotButton="0" quotePrefix="0" xfId="0">
      <alignment horizontal="center" vertical="center"/>
    </xf>
    <xf numFmtId="0" fontId="8" fillId="4" borderId="0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 wrapText="1"/>
    </xf>
    <xf numFmtId="171" fontId="7" fillId="6" borderId="1" applyAlignment="1" pivotButton="0" quotePrefix="0" xfId="0">
      <alignment horizontal="center" vertical="center"/>
    </xf>
    <xf numFmtId="171" fontId="7" fillId="5" borderId="1" applyAlignment="1" pivotButton="0" quotePrefix="0" xfId="0">
      <alignment horizontal="center" vertical="center"/>
    </xf>
    <xf numFmtId="171" fontId="0" fillId="0" borderId="0" pivotButton="0" quotePrefix="0" xfId="0"/>
    <xf numFmtId="167" fontId="7" fillId="5" borderId="1" applyAlignment="1" pivotButton="0" quotePrefix="0" xfId="0">
      <alignment horizontal="center" vertical="center"/>
    </xf>
    <xf numFmtId="167" fontId="7" fillId="6" borderId="1" applyAlignment="1" pivotButton="0" quotePrefix="0" xfId="0">
      <alignment horizontal="center" vertical="center"/>
    </xf>
    <xf numFmtId="0" fontId="9" fillId="0" borderId="0" applyAlignment="1" pivotButton="0" quotePrefix="0" xfId="0">
      <alignment horizontal="left" vertical="center" wrapText="1"/>
    </xf>
    <xf numFmtId="0" fontId="10" fillId="6" borderId="2" applyAlignment="1" pivotButton="0" quotePrefix="0" xfId="0">
      <alignment horizontal="center" vertical="center"/>
    </xf>
    <xf numFmtId="0" fontId="11" fillId="7" borderId="1" applyAlignment="1" pivotButton="0" quotePrefix="0" xfId="0">
      <alignment horizontal="center" vertical="center"/>
    </xf>
    <xf numFmtId="0" fontId="11" fillId="4" borderId="1" applyAlignment="1" pivotButton="0" quotePrefix="0" xfId="0">
      <alignment horizontal="center" vertical="center"/>
    </xf>
    <xf numFmtId="0" fontId="11" fillId="8" borderId="1" applyAlignment="1" pivotButton="0" quotePrefix="0" xfId="0">
      <alignment horizontal="center" vertical="center"/>
    </xf>
    <xf numFmtId="0" fontId="11" fillId="9" borderId="1" applyAlignment="1" pivotButton="0" quotePrefix="0" xfId="0">
      <alignment horizontal="center" vertical="center"/>
    </xf>
    <xf numFmtId="0" fontId="11" fillId="10" borderId="1" applyAlignment="1" pivotButton="0" quotePrefix="0" xfId="0">
      <alignment horizontal="center" vertical="center"/>
    </xf>
    <xf numFmtId="0" fontId="11" fillId="11" borderId="1" applyAlignment="1" pivotButton="0" quotePrefix="0" xfId="0">
      <alignment horizontal="center" vertical="center"/>
    </xf>
    <xf numFmtId="164" fontId="12" fillId="0" borderId="3" applyAlignment="1" pivotButton="0" quotePrefix="0" xfId="0">
      <alignment horizontal="center" vertical="center"/>
    </xf>
    <xf numFmtId="3" fontId="12" fillId="0" borderId="4" applyAlignment="1" pivotButton="0" quotePrefix="0" xfId="0">
      <alignment horizontal="center" vertical="center"/>
    </xf>
    <xf numFmtId="164" fontId="12" fillId="0" borderId="5" applyAlignment="1" pivotButton="0" quotePrefix="0" xfId="0">
      <alignment horizontal="center" vertical="center"/>
    </xf>
    <xf numFmtId="164" fontId="12" fillId="0" borderId="6" applyAlignment="1" pivotButton="0" quotePrefix="0" xfId="0">
      <alignment horizontal="center" vertical="center"/>
    </xf>
    <xf numFmtId="3" fontId="12" fillId="0" borderId="7" applyAlignment="1" pivotButton="0" quotePrefix="0" xfId="0">
      <alignment horizontal="center" vertical="center"/>
    </xf>
    <xf numFmtId="168" fontId="12" fillId="0" borderId="8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13" fillId="0" borderId="1" applyAlignment="1" pivotButton="0" quotePrefix="0" xfId="0">
      <alignment horizontal="general" vertical="bottom"/>
    </xf>
    <xf numFmtId="164" fontId="0" fillId="6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164" fontId="0" fillId="5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8" fillId="2" borderId="1" applyAlignment="1" pivotButton="0" quotePrefix="0" xfId="0">
      <alignment horizontal="left" vertical="center"/>
    </xf>
    <xf numFmtId="169" fontId="7" fillId="6" borderId="1" applyAlignment="1" pivotButton="0" quotePrefix="0" xfId="0">
      <alignment horizontal="center" vertical="center"/>
    </xf>
    <xf numFmtId="170" fontId="7" fillId="6" borderId="1" applyAlignment="1" pivotButton="0" quotePrefix="0" xfId="0">
      <alignment horizontal="general" vertical="center" wrapText="1"/>
    </xf>
    <xf numFmtId="169" fontId="7" fillId="5" borderId="1" applyAlignment="1" pivotButton="0" quotePrefix="0" xfId="0">
      <alignment horizontal="center" vertical="center"/>
    </xf>
    <xf numFmtId="170" fontId="7" fillId="5" borderId="1" applyAlignment="1" pivotButton="0" quotePrefix="0" xfId="0">
      <alignment horizontal="general" vertical="center" wrapText="1"/>
    </xf>
    <xf numFmtId="0" fontId="13" fillId="6" borderId="1" applyAlignment="1" pivotButton="0" quotePrefix="0" xfId="0">
      <alignment horizontal="general" vertical="center" wrapText="1"/>
    </xf>
    <xf numFmtId="0" fontId="13" fillId="5" borderId="1" applyAlignment="1" pivotButton="0" quotePrefix="0" xfId="0">
      <alignment horizontal="general" vertical="center" wrapText="1"/>
    </xf>
    <xf numFmtId="0" fontId="13" fillId="6" borderId="1" applyAlignment="1" pivotButton="0" quotePrefix="0" xfId="0">
      <alignment horizontal="general" vertical="bottom"/>
    </xf>
    <xf numFmtId="0" fontId="13" fillId="5" borderId="1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1">
    <dxf>
      <fill>
        <patternFill patternType="solid">
          <fgColor rgb="FF1E3A5F"/>
          <bgColor rgb="FF000000"/>
        </patternFill>
      </fill>
    </dxf>
    <dxf>
      <fill>
        <patternFill patternType="solid">
          <fgColor rgb="FFEDF2F7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1A202C"/>
          <bgColor rgb="FF000000"/>
        </patternFill>
      </fill>
    </dxf>
    <dxf>
      <fill>
        <patternFill patternType="solid">
          <bgColor rgb="FF000000"/>
        </patternFill>
      </fill>
    </dxf>
    <dxf>
      <font>
        <b val="1"/>
        <color rgb="FFE63946"/>
      </font>
      <fill>
        <patternFill>
          <bgColor rgb="FFFEE2E2"/>
        </patternFill>
      </fill>
    </dxf>
    <dxf>
      <font>
        <color rgb="FF92400E"/>
      </font>
      <fill>
        <patternFill>
          <bgColor rgb="FFFEF3C7"/>
        </patternFill>
      </fill>
    </dxf>
    <dxf>
      <font>
        <b val="1"/>
        <color rgb="FFFFFFFF"/>
      </font>
      <fill>
        <patternFill>
          <bgColor rgb="FFE63946"/>
        </patternFill>
      </fill>
    </dxf>
    <dxf>
      <font>
        <b val="1"/>
        <color rgb="FFFFFFFF"/>
      </font>
      <fill>
        <patternFill>
          <bgColor rgb="FF7C3AED"/>
        </patternFill>
      </fill>
    </dxf>
    <dxf>
      <font>
        <b val="1"/>
        <color rgb="FF065F46"/>
      </font>
      <fill>
        <patternFill>
          <bgColor rgb="FFD1FAE5"/>
        </patternFill>
      </fill>
    </dxf>
    <dxf>
      <font>
        <b val="1"/>
        <color rgb="FFFFFFFF"/>
      </font>
      <fill>
        <patternFill>
          <bgColor rgb="FFF0A5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65F46"/>
      <rgbColor rgb="FFA0AEC0"/>
      <rgbColor rgb="FF808080"/>
      <rgbColor rgb="FF9999FF"/>
      <rgbColor rgb="FFE63946"/>
      <rgbColor rgb="FFFEF3C7"/>
      <rgbColor rgb="FFEDF2F7"/>
      <rgbColor rgb="FF660066"/>
      <rgbColor rgb="FFFF6B6B"/>
      <rgbColor rgb="FF0066CC"/>
      <rgbColor rgb="FFCBD5E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4D8"/>
      <rgbColor rgb="FFCCFFFF"/>
      <rgbColor rgb="FFD1FAE5"/>
      <rgbColor rgb="FFFFFF99"/>
      <rgbColor rgb="FF99CCFF"/>
      <rgbColor rgb="FFFF99CC"/>
      <rgbColor rgb="FFCC99FF"/>
      <rgbColor rgb="FFFEE2E2"/>
      <rgbColor rgb="FF6366F1"/>
      <rgbColor rgb="FF33CCCC"/>
      <rgbColor rgb="FF99CC00"/>
      <rgbColor rgb="FFFFCC00"/>
      <rgbColor rgb="FFF0A500"/>
      <rgbColor rgb="FFFF6600"/>
      <rgbColor rgb="FF7C3AED"/>
      <rgbColor rgb="FF969696"/>
      <rgbColor rgb="FF1E3A5F"/>
      <rgbColor rgb="FF2DC653"/>
      <rgbColor rgb="FF0D1B2A"/>
      <rgbColor rgb="FF1A202C"/>
      <rgbColor rgb="FF92400E"/>
      <rgbColor rgb="FF993366"/>
      <rgbColor rgb="FF333399"/>
      <rgbColor rgb="FF1B2838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tabColor rgb="FF00B4D8"/>
    <outlinePr summaryBelow="1" summaryRight="1"/>
    <pageSetUpPr fitToPage="0"/>
  </sheetPr>
  <dimension ref="A1:H20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30" customWidth="1" style="51" min="1" max="1"/>
    <col width="22" customWidth="1" style="51" min="2" max="6"/>
    <col width="18" customWidth="1" style="51" min="7" max="7"/>
    <col width="16" customWidth="1" style="51" min="8" max="8"/>
  </cols>
  <sheetData>
    <row r="1" ht="42" customHeight="1" s="52">
      <c r="A1" s="53" t="inlineStr">
        <is>
          <t>FLEET OVERVIEW — VEHICLES 2026</t>
        </is>
      </c>
    </row>
    <row r="2" ht="24" customHeight="1" s="52">
      <c r="A2" s="54" t="inlineStr">
        <is>
          <t>At-a-glance summary of all fleet vehicles  •  Data pulls automatically from Service Log &amp; Fuel Log</t>
        </is>
      </c>
    </row>
    <row r="4" ht="31.5" customHeight="1" s="52">
      <c r="A4" s="55" t="inlineStr">
        <is>
          <t>VEHICLE</t>
        </is>
      </c>
      <c r="B4" s="55" t="inlineStr">
        <is>
          <t>TOTAL SERVICE COST</t>
        </is>
      </c>
      <c r="C4" s="55" t="inlineStr">
        <is>
          <t># SERVICES</t>
        </is>
      </c>
      <c r="D4" s="55" t="inlineStr">
        <is>
          <t>LATEST MILEAGE</t>
        </is>
      </c>
      <c r="E4" s="55" t="inlineStr">
        <is>
          <t>AVG COST / SERVICE</t>
        </is>
      </c>
      <c r="F4" s="55" t="inlineStr">
        <is>
          <t>FUEL EFFICIENCY (MPG)</t>
        </is>
      </c>
      <c r="G4" s="55" t="inlineStr">
        <is>
          <t>COST / 1K MILES</t>
        </is>
      </c>
      <c r="H4" s="55" t="inlineStr">
        <is>
          <t>% OF FLEET COST</t>
        </is>
      </c>
    </row>
    <row r="5" ht="15" customHeight="1" s="52">
      <c r="A5" s="56" t="inlineStr">
        <is>
          <t>COLDRV1 22 TOY COR</t>
        </is>
      </c>
      <c r="B5" s="57">
        <f>SUMIFS('Service Log'!I$2:I$500,'Service Log'!A$2:A$500,"COLDRV1 22 TOY COR")</f>
        <v/>
      </c>
      <c r="C5" s="58">
        <f>COUNTIFS('Service Log'!A$2:A$500,"COLDRV1 22 TOY COR",'Service Log'!I$2:I$500,"&gt;0")</f>
        <v/>
      </c>
      <c r="D5" s="58">
        <f>IFERROR(maxifs('Service Log'!C$2:C$500,'Service Log'!A$2:A$500,"COLDRV1 22 TOY COR"),"")</f>
        <v/>
      </c>
      <c r="E5" s="57">
        <f>IFERROR(B5/C5,0)</f>
        <v/>
      </c>
      <c r="F5" s="59">
        <f>IFERROR(SUMIFS('Fuel Log'!D$2:D$500,'Fuel Log'!A$2:A$500,"COLDRV1 22 TOY COR")/SUMIFS('Fuel Log'!C$2:C$500,'Fuel Log'!A$2:A$500,"COLDRV1 22 TOY COR"),"")</f>
        <v/>
      </c>
      <c r="G5" s="57">
        <f>IFERROR(B5/(D5/1000),0)</f>
        <v/>
      </c>
      <c r="H5" s="60">
        <f>IFERROR(B5/B$11,0)</f>
        <v/>
      </c>
    </row>
    <row r="6" ht="15" customHeight="1" s="52">
      <c r="A6" s="61" t="inlineStr">
        <is>
          <t>COLDRV2 17 NISSAN ALTIMA</t>
        </is>
      </c>
      <c r="B6" s="62">
        <f>SUMIFS('Service Log'!I$2:I$500,'Service Log'!A$2:A$500,"COLDRV2 17 NISSAN ALTIMA")</f>
        <v/>
      </c>
      <c r="C6" s="63">
        <f>COUNTIFS('Service Log'!A$2:A$500,"COLDRV2 17 NISSAN ALTIMA",'Service Log'!I$2:I$500,"&gt;0")</f>
        <v/>
      </c>
      <c r="D6" s="63">
        <f>IFERROR(maxifs('Service Log'!C$2:C$500,'Service Log'!A$2:A$500,"COLDRV2 17 NISSAN ALTIMA"),"")</f>
        <v/>
      </c>
      <c r="E6" s="62">
        <f>IFERROR(B6/C6,0)</f>
        <v/>
      </c>
      <c r="F6" s="64">
        <f>IFERROR(SUMIFS('Fuel Log'!D$2:D$500,'Fuel Log'!A$2:A$500,"COLDRV2 17 NISSAN ALTIMA")/SUMIFS('Fuel Log'!C$2:C$500,'Fuel Log'!A$2:A$500,"COLDRV2 17 NISSAN ALTIMA"),"")</f>
        <v/>
      </c>
      <c r="G6" s="62">
        <f>IFERROR(B6/(D6/1000),0)</f>
        <v/>
      </c>
      <c r="H6" s="65">
        <f>IFERROR(B6/B$11,0)</f>
        <v/>
      </c>
    </row>
    <row r="7" ht="15" customHeight="1" s="52">
      <c r="A7" s="56" t="inlineStr">
        <is>
          <t>COLDRV3 17 TOY PRIUS</t>
        </is>
      </c>
      <c r="B7" s="57">
        <f>SUMIFS('Service Log'!I$2:I$500,'Service Log'!A$2:A$500,"COLDRV3 17 TOY PRIUS")</f>
        <v/>
      </c>
      <c r="C7" s="58">
        <f>COUNTIFS('Service Log'!A$2:A$500,"COLDRV3 17 TOY PRIUS",'Service Log'!I$2:I$500,"&gt;0")</f>
        <v/>
      </c>
      <c r="D7" s="58">
        <f>IFERROR(maxifs('Service Log'!C$2:C$500,'Service Log'!A$2:A$500,"COLDRV3 17 TOY PRIUS"),"")</f>
        <v/>
      </c>
      <c r="E7" s="57">
        <f>IFERROR(B7/C7,0)</f>
        <v/>
      </c>
      <c r="F7" s="59">
        <f>IFERROR(SUMIFS('Fuel Log'!D$2:D$500,'Fuel Log'!A$2:A$500,"COLDRV3 17 TOY PRIUS")/SUMIFS('Fuel Log'!C$2:C$500,'Fuel Log'!A$2:A$500,"COLDRV3 17 TOY PRIUS"),"")</f>
        <v/>
      </c>
      <c r="G7" s="57">
        <f>IFERROR(B7/(D7/1000),0)</f>
        <v/>
      </c>
      <c r="H7" s="60">
        <f>IFERROR(B7/B$11,0)</f>
        <v/>
      </c>
    </row>
    <row r="8" ht="23.25" customHeight="1" s="52">
      <c r="A8" s="61" t="inlineStr">
        <is>
          <t>COLDRV4 2015 HONDA ACCORD</t>
        </is>
      </c>
      <c r="B8" s="62">
        <f>SUMIFS('Service Log'!I$2:I$500,'Service Log'!A$2:A$500,"COLDRV4 2015 HONDA ACCORD")</f>
        <v/>
      </c>
      <c r="C8" s="63">
        <f>COUNTIFS('Service Log'!A$2:A$500,"COLDRV4 2015 HONDA ACCORD",'Service Log'!I$2:I$500,"&gt;0")</f>
        <v/>
      </c>
      <c r="D8" s="63">
        <f>IFERROR(maxifs('Service Log'!C$2:C$500,'Service Log'!A$2:A$500,"COLDRV4 2015 HONDA ACCORD"),"")</f>
        <v/>
      </c>
      <c r="E8" s="62">
        <f>IFERROR(B8/C8,0)</f>
        <v/>
      </c>
      <c r="F8" s="64">
        <f>IFERROR(SUMIFS('Fuel Log'!D$2:D$500,'Fuel Log'!A$2:A$500,"COLDRV4 2015 HONDA ACCORD")/SUMIFS('Fuel Log'!C$2:C$500,'Fuel Log'!A$2:A$500,"COLDRV4 2015 HONDA ACCORD"),"")</f>
        <v/>
      </c>
      <c r="G8" s="62">
        <f>IFERROR(B8/(D8/1000),0)</f>
        <v/>
      </c>
      <c r="H8" s="65">
        <f>IFERROR(B8/B$11,0)</f>
        <v/>
      </c>
    </row>
    <row r="9" ht="15" customHeight="1" s="52">
      <c r="A9" s="56" t="inlineStr">
        <is>
          <t>COLDRV5 18 HONDA ACCORD</t>
        </is>
      </c>
      <c r="B9" s="57">
        <f>SUMIFS('Service Log'!I$2:I$500,'Service Log'!A$2:A$500,"COLDRV5 18 HONDA ACCORD")</f>
        <v/>
      </c>
      <c r="C9" s="58">
        <f>COUNTIFS('Service Log'!A$2:A$500,"COLDRV5 18 HONDA ACCORD",'Service Log'!I$2:I$500,"&gt;0")</f>
        <v/>
      </c>
      <c r="D9" s="58">
        <f>IFERROR(maxifs('Service Log'!C$2:C$500,'Service Log'!A$2:A$500,"COLDRV5 18 HONDA ACCORD"),"")</f>
        <v/>
      </c>
      <c r="E9" s="57">
        <f>IFERROR(B9/C9,0)</f>
        <v/>
      </c>
      <c r="F9" s="59">
        <f>IFERROR(SUMIFS('Fuel Log'!D$2:D$500,'Fuel Log'!A$2:A$500,"COLDRV5 18 HONDA ACCORD")/SUMIFS('Fuel Log'!C$2:C$500,'Fuel Log'!A$2:A$500,"COLDRV5 18 HONDA ACCORD"),"")</f>
        <v/>
      </c>
      <c r="G9" s="57">
        <f>IFERROR(B9/(D9/1000),0)</f>
        <v/>
      </c>
      <c r="H9" s="60">
        <f>IFERROR(B9/B$11,0)</f>
        <v/>
      </c>
    </row>
    <row r="10" ht="15" customHeight="1" s="52">
      <c r="A10" s="61" t="inlineStr">
        <is>
          <t>COLDRV8 21 TOY COR</t>
        </is>
      </c>
      <c r="B10" s="62">
        <f>SUMIFS('Service Log'!I$2:I$500,'Service Log'!A$2:A$500,"COLDRV8 21 TOY COR")</f>
        <v/>
      </c>
      <c r="C10" s="63">
        <f>COUNTIFS('Service Log'!A$2:A$500,"COLDRV8 21 TOY COR",'Service Log'!I$2:I$500,"&gt;0")</f>
        <v/>
      </c>
      <c r="D10" s="63">
        <f>IFERROR(maxifs('Service Log'!C$2:C$500,'Service Log'!A$2:A$500,"COLDRV8 21 TOY COR"),"")</f>
        <v/>
      </c>
      <c r="E10" s="62">
        <f>IFERROR(B10/C10,0)</f>
        <v/>
      </c>
      <c r="F10" s="64">
        <f>IFERROR(SUMIFS('Fuel Log'!D$2:D$500,'Fuel Log'!A$2:A$500,"COLDRV8 21 TOY COR")/SUMIFS('Fuel Log'!C$2:C$500,'Fuel Log'!A$2:A$500,"COLDRV8 21 TOY COR"),"")</f>
        <v/>
      </c>
      <c r="G10" s="62">
        <f>IFERROR(B10/(D10/1000),0)</f>
        <v/>
      </c>
      <c r="H10" s="65">
        <f>IFERROR(B10/B$11,0)</f>
        <v/>
      </c>
    </row>
    <row r="11" ht="15" customHeight="1" s="52">
      <c r="A11" s="66" t="inlineStr">
        <is>
          <t>FLEET TOTAL</t>
        </is>
      </c>
      <c r="B11" s="67">
        <f>SUM(B5:B10)</f>
        <v/>
      </c>
      <c r="C11" s="66">
        <f>SUM(C5:C10)</f>
        <v/>
      </c>
      <c r="D11" s="66" t="n"/>
      <c r="E11" s="66" t="n"/>
      <c r="F11" s="66" t="n"/>
      <c r="G11" s="66" t="n"/>
      <c r="H11" s="68">
        <f>SUM(H5:H10)</f>
        <v/>
      </c>
    </row>
    <row r="13" ht="30" customHeight="1" s="52">
      <c r="A13" s="69" t="inlineStr">
        <is>
          <t>COST BREAKDOWN BY SERVICE CATEGORY</t>
        </is>
      </c>
    </row>
    <row r="14" ht="31.5" customHeight="1" s="52">
      <c r="A14" s="70" t="inlineStr">
        <is>
          <t>VEHICLE</t>
        </is>
      </c>
      <c r="B14" s="70" t="inlineStr">
        <is>
          <t>ROUTINE / WEAR ITEMS</t>
        </is>
      </c>
      <c r="C14" s="70" t="inlineStr">
        <is>
          <t>ENGINE &amp; COOLING</t>
        </is>
      </c>
      <c r="D14" s="70" t="inlineStr">
        <is>
          <t>TRANSMISSION &amp; DRIVETRAIN</t>
        </is>
      </c>
      <c r="E14" s="70" t="inlineStr">
        <is>
          <t>STEERING &amp; SUSPENSION</t>
        </is>
      </c>
      <c r="F14" s="70" t="inlineStr">
        <is>
          <t>ELECTRICAL &amp; OTHER MAJOR</t>
        </is>
      </c>
    </row>
    <row r="15" ht="15" customHeight="1" s="52">
      <c r="A15" s="56" t="inlineStr">
        <is>
          <t>COLDRV1 22 TOY COR</t>
        </is>
      </c>
      <c r="B15" s="57">
        <f>SUMIFS('Service Log'!I$2:I$500,'Service Log'!A$2:A$500,"COLDRV1 22 TOY COR",'Service Log'!G$2:G$500,"Routine / Wear Items")</f>
        <v/>
      </c>
      <c r="C15" s="57">
        <f>SUMIFS('Service Log'!I$2:I$500,'Service Log'!A$2:A$500,"COLDRV1 22 TOY COR",'Service Log'!G$2:G$500,"Engine &amp; Cooling")</f>
        <v/>
      </c>
      <c r="D15" s="57">
        <f>SUMIFS('Service Log'!I$2:I$500,'Service Log'!A$2:A$500,"COLDRV1 22 TOY COR",'Service Log'!G$2:G$500,"Transmission &amp; Drivetrain")</f>
        <v/>
      </c>
      <c r="E15" s="57">
        <f>SUMIFS('Service Log'!I$2:I$500,'Service Log'!A$2:A$500,"COLDRV1 22 TOY COR",'Service Log'!G$2:G$500,"Steering &amp; Suspension")</f>
        <v/>
      </c>
      <c r="F15" s="57">
        <f>SUMIFS('Service Log'!I$2:I$500,'Service Log'!A$2:A$500,"COLDRV1 22 TOY COR",'Service Log'!G$2:G$500,"Electrical &amp; Other Major")</f>
        <v/>
      </c>
    </row>
    <row r="16" ht="15" customHeight="1" s="52">
      <c r="A16" s="61" t="inlineStr">
        <is>
          <t>COLDRV2 17 NISSAN ALTIMA</t>
        </is>
      </c>
      <c r="B16" s="62">
        <f>SUMIFS('Service Log'!I$2:I$500,'Service Log'!A$2:A$500,"COLDRV2 17 NISSAN ALTIMA",'Service Log'!G$2:G$500,"Routine / Wear Items")</f>
        <v/>
      </c>
      <c r="C16" s="62">
        <f>SUMIFS('Service Log'!I$2:I$500,'Service Log'!A$2:A$500,"COLDRV2 17 NISSAN ALTIMA",'Service Log'!G$2:G$500,"Engine &amp; Cooling")</f>
        <v/>
      </c>
      <c r="D16" s="62">
        <f>SUMIFS('Service Log'!I$2:I$500,'Service Log'!A$2:A$500,"COLDRV2 17 NISSAN ALTIMA",'Service Log'!G$2:G$500,"Transmission &amp; Drivetrain")</f>
        <v/>
      </c>
      <c r="E16" s="62">
        <f>SUMIFS('Service Log'!I$2:I$500,'Service Log'!A$2:A$500,"COLDRV2 17 NISSAN ALTIMA",'Service Log'!G$2:G$500,"Steering &amp; Suspension")</f>
        <v/>
      </c>
      <c r="F16" s="62">
        <f>SUMIFS('Service Log'!I$2:I$500,'Service Log'!A$2:A$500,"COLDRV2 17 NISSAN ALTIMA",'Service Log'!G$2:G$500,"Electrical &amp; Other Major")</f>
        <v/>
      </c>
    </row>
    <row r="17" ht="15" customHeight="1" s="52">
      <c r="A17" s="56" t="inlineStr">
        <is>
          <t>COLDRV3 17 TOY PRIUS</t>
        </is>
      </c>
      <c r="B17" s="57">
        <f>SUMIFS('Service Log'!I$2:I$500,'Service Log'!A$2:A$500,"COLDRV3 17 TOY PRIUS",'Service Log'!G$2:G$500,"Routine / Wear Items")</f>
        <v/>
      </c>
      <c r="C17" s="57">
        <f>SUMIFS('Service Log'!I$2:I$500,'Service Log'!A$2:A$500,"COLDRV3 17 TOY PRIUS",'Service Log'!G$2:G$500,"Engine &amp; Cooling")</f>
        <v/>
      </c>
      <c r="D17" s="57">
        <f>SUMIFS('Service Log'!I$2:I$500,'Service Log'!A$2:A$500,"COLDRV3 17 TOY PRIUS",'Service Log'!G$2:G$500,"Transmission &amp; Drivetrain")</f>
        <v/>
      </c>
      <c r="E17" s="57">
        <f>SUMIFS('Service Log'!I$2:I$500,'Service Log'!A$2:A$500,"COLDRV3 17 TOY PRIUS",'Service Log'!G$2:G$500,"Steering &amp; Suspension")</f>
        <v/>
      </c>
      <c r="F17" s="57">
        <f>SUMIFS('Service Log'!I$2:I$500,'Service Log'!A$2:A$500,"COLDRV3 17 TOY PRIUS",'Service Log'!G$2:G$500,"Electrical &amp; Other Major")</f>
        <v/>
      </c>
    </row>
    <row r="18" ht="23.25" customHeight="1" s="52">
      <c r="A18" s="61" t="inlineStr">
        <is>
          <t>COLDRV4 2015 HONDA ACCORD</t>
        </is>
      </c>
      <c r="B18" s="62">
        <f>SUMIFS('Service Log'!I$2:I$500,'Service Log'!A$2:A$500,"COLDRV4 2015 HONDA ACCORD",'Service Log'!G$2:G$500,"Routine / Wear Items")</f>
        <v/>
      </c>
      <c r="C18" s="62">
        <f>SUMIFS('Service Log'!I$2:I$500,'Service Log'!A$2:A$500,"COLDRV4 2015 HONDA ACCORD",'Service Log'!G$2:G$500,"Engine &amp; Cooling")</f>
        <v/>
      </c>
      <c r="D18" s="62">
        <f>SUMIFS('Service Log'!I$2:I$500,'Service Log'!A$2:A$500,"COLDRV4 2015 HONDA ACCORD",'Service Log'!G$2:G$500,"Transmission &amp; Drivetrain")</f>
        <v/>
      </c>
      <c r="E18" s="62">
        <f>SUMIFS('Service Log'!I$2:I$500,'Service Log'!A$2:A$500,"COLDRV4 2015 HONDA ACCORD",'Service Log'!G$2:G$500,"Steering &amp; Suspension")</f>
        <v/>
      </c>
      <c r="F18" s="62">
        <f>SUMIFS('Service Log'!I$2:I$500,'Service Log'!A$2:A$500,"COLDRV4 2015 HONDA ACCORD",'Service Log'!G$2:G$500,"Electrical &amp; Other Major")</f>
        <v/>
      </c>
    </row>
    <row r="19" ht="15" customHeight="1" s="52">
      <c r="A19" s="56" t="inlineStr">
        <is>
          <t>COLDRV5 18 HONDA ACCORD</t>
        </is>
      </c>
      <c r="B19" s="57">
        <f>SUMIFS('Service Log'!I$2:I$500,'Service Log'!A$2:A$500,"COLDRV5 18 HONDA ACCORD",'Service Log'!G$2:G$500,"Routine / Wear Items")</f>
        <v/>
      </c>
      <c r="C19" s="57">
        <f>SUMIFS('Service Log'!I$2:I$500,'Service Log'!A$2:A$500,"COLDRV5 18 HONDA ACCORD",'Service Log'!G$2:G$500,"Engine &amp; Cooling")</f>
        <v/>
      </c>
      <c r="D19" s="57">
        <f>SUMIFS('Service Log'!I$2:I$500,'Service Log'!A$2:A$500,"COLDRV5 18 HONDA ACCORD",'Service Log'!G$2:G$500,"Transmission &amp; Drivetrain")</f>
        <v/>
      </c>
      <c r="E19" s="57">
        <f>SUMIFS('Service Log'!I$2:I$500,'Service Log'!A$2:A$500,"COLDRV5 18 HONDA ACCORD",'Service Log'!G$2:G$500,"Steering &amp; Suspension")</f>
        <v/>
      </c>
      <c r="F19" s="57">
        <f>SUMIFS('Service Log'!I$2:I$500,'Service Log'!A$2:A$500,"COLDRV5 18 HONDA ACCORD",'Service Log'!G$2:G$500,"Electrical &amp; Other Major")</f>
        <v/>
      </c>
    </row>
    <row r="20" ht="15" customHeight="1" s="52">
      <c r="A20" s="61" t="inlineStr">
        <is>
          <t>COLDRV8 21 TOY COR</t>
        </is>
      </c>
      <c r="B20" s="62">
        <f>SUMIFS('Service Log'!I$2:I$500,'Service Log'!A$2:A$500,"COLDRV8 21 TOY COR",'Service Log'!G$2:G$500,"Routine / Wear Items")</f>
        <v/>
      </c>
      <c r="C20" s="62">
        <f>SUMIFS('Service Log'!I$2:I$500,'Service Log'!A$2:A$500,"COLDRV8 21 TOY COR",'Service Log'!G$2:G$500,"Engine &amp; Cooling")</f>
        <v/>
      </c>
      <c r="D20" s="62">
        <f>SUMIFS('Service Log'!I$2:I$500,'Service Log'!A$2:A$500,"COLDRV8 21 TOY COR",'Service Log'!G$2:G$500,"Transmission &amp; Drivetrain")</f>
        <v/>
      </c>
      <c r="E20" s="62">
        <f>SUMIFS('Service Log'!I$2:I$500,'Service Log'!A$2:A$500,"COLDRV8 21 TOY COR",'Service Log'!G$2:G$500,"Steering &amp; Suspension")</f>
        <v/>
      </c>
      <c r="F20" s="62">
        <f>SUMIFS('Service Log'!I$2:I$500,'Service Log'!A$2:A$500,"COLDRV8 21 TOY COR",'Service Log'!G$2:G$500,"Electrical &amp; Other Major")</f>
        <v/>
      </c>
    </row>
  </sheetData>
  <mergeCells count="2">
    <mergeCell ref="A2:H2"/>
    <mergeCell ref="A1:H1"/>
  </mergeCells>
  <conditionalFormatting sqref="B5:B10">
    <cfRule type="dataBar" priority="2">
      <dataBar minLength="10" maxLength="90" showValue="1">
        <cfvo type="min" val="0"/>
        <cfvo type="max" val="0"/>
        <color rgb="FF00B4D8"/>
      </dataBar>
    </cfRule>
  </conditionalFormatting>
  <conditionalFormatting sqref="H5:H10">
    <cfRule type="dataBar" priority="3">
      <dataBar minLength="10" maxLength="90" showValue="1">
        <cfvo type="min" val="0"/>
        <cfvo type="max" val="0"/>
        <color rgb="FFF0A500"/>
      </dataBar>
    </cfRule>
  </conditionalFormatting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tabColor rgb="FF1E3A5F"/>
    <outlinePr summaryBelow="1" summaryRight="1"/>
    <pageSetUpPr fitToPage="0"/>
  </sheetPr>
  <dimension ref="A1:J500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28" customWidth="1" style="51" min="1" max="1"/>
    <col width="14" customWidth="1" style="51" min="2" max="3"/>
    <col width="18" customWidth="1" style="51" min="4" max="4"/>
    <col width="38" customWidth="1" style="51" min="5" max="5"/>
    <col width="34" customWidth="1" style="51" min="6" max="6"/>
    <col width="26" customWidth="1" style="51" min="7" max="7"/>
    <col width="20" customWidth="1" style="51" min="8" max="8"/>
    <col width="14" customWidth="1" style="51" min="9" max="9"/>
    <col width="16" customWidth="1" style="51" min="10" max="10"/>
  </cols>
  <sheetData>
    <row r="1" ht="42" customHeight="1" s="52">
      <c r="A1" s="53" t="inlineStr">
        <is>
          <t>SERVICE LOG — ALL VEHICLES</t>
        </is>
      </c>
    </row>
    <row r="2" ht="24" customHeight="1" s="52">
      <c r="A2" s="54" t="inlineStr">
        <is>
          <t>Primary data entry sheet  •  Use column A filter to view a single vehicle  •  Dropdown menus in columns A, D, G</t>
        </is>
      </c>
    </row>
    <row r="3" ht="31.5" customHeight="1" s="52">
      <c r="A3" s="55" t="inlineStr">
        <is>
          <t>VEHICLE</t>
        </is>
      </c>
      <c r="B3" s="55" t="inlineStr">
        <is>
          <t>DATE</t>
        </is>
      </c>
      <c r="C3" s="55" t="inlineStr">
        <is>
          <t>MILEAGE</t>
        </is>
      </c>
      <c r="D3" s="55" t="inlineStr">
        <is>
          <t>SERVICE TRIGGER</t>
        </is>
      </c>
      <c r="E3" s="55" t="inlineStr">
        <is>
          <t>NOTES</t>
        </is>
      </c>
      <c r="F3" s="55" t="inlineStr">
        <is>
          <t>SERVICE DETAILS</t>
        </is>
      </c>
      <c r="G3" s="55" t="inlineStr">
        <is>
          <t>SERVICE CATEGORY</t>
        </is>
      </c>
      <c r="H3" s="55" t="inlineStr">
        <is>
          <t>SHOP / VENDOR</t>
        </is>
      </c>
      <c r="I3" s="55" t="inlineStr">
        <is>
          <t>TOTAL COST</t>
        </is>
      </c>
      <c r="J3" s="55" t="inlineStr">
        <is>
          <t>INVOICE / REF #</t>
        </is>
      </c>
    </row>
    <row r="4" ht="15" customHeight="1" s="52">
      <c r="A4" s="61" t="inlineStr">
        <is>
          <t>COLDRV1 22 TOY COR</t>
        </is>
      </c>
      <c r="B4" s="71" t="n">
        <v>45695</v>
      </c>
      <c r="C4" s="63" t="n">
        <v>31837</v>
      </c>
      <c r="D4" s="61" t="inlineStr">
        <is>
          <t>MAINTENANCE</t>
        </is>
      </c>
      <c r="E4" s="61" t="inlineStr"/>
      <c r="F4" s="61" t="inlineStr">
        <is>
          <t>Brake fluid flush</t>
        </is>
      </c>
      <c r="G4" s="61" t="inlineStr">
        <is>
          <t>Routine / Wear Items</t>
        </is>
      </c>
      <c r="H4" s="61" t="inlineStr">
        <is>
          <t>Discount Tire</t>
        </is>
      </c>
      <c r="I4" s="62" t="n">
        <v>75.12</v>
      </c>
      <c r="J4" s="61" t="inlineStr">
        <is>
          <t>INV-21395</t>
        </is>
      </c>
    </row>
    <row r="5" ht="15" customHeight="1" s="52">
      <c r="A5" s="56" t="inlineStr">
        <is>
          <t>COLDRV4 2015 HONDA ACCORD</t>
        </is>
      </c>
      <c r="B5" s="72" t="n">
        <v>45711</v>
      </c>
      <c r="C5" s="58" t="n">
        <v>107331</v>
      </c>
      <c r="D5" s="56" t="inlineStr">
        <is>
          <t>REPAIR</t>
        </is>
      </c>
      <c r="E5" s="56" t="inlineStr"/>
      <c r="F5" s="56" t="inlineStr">
        <is>
          <t>Valve cover gasket</t>
        </is>
      </c>
      <c r="G5" s="56" t="inlineStr">
        <is>
          <t>Engine &amp; Cooling</t>
        </is>
      </c>
      <c r="H5" s="56" t="inlineStr">
        <is>
          <t>Quick Lube Express</t>
        </is>
      </c>
      <c r="I5" s="57" t="n">
        <v>384.49</v>
      </c>
      <c r="J5" s="56" t="inlineStr">
        <is>
          <t>INV-88504</t>
        </is>
      </c>
    </row>
    <row r="6" ht="15" customHeight="1" s="52">
      <c r="A6" s="61" t="inlineStr">
        <is>
          <t>COLDRV8 21 TOY COR</t>
        </is>
      </c>
      <c r="B6" s="71" t="n">
        <v>45711</v>
      </c>
      <c r="C6" s="63" t="n">
        <v>39577</v>
      </c>
      <c r="D6" s="61" t="inlineStr">
        <is>
          <t>MAINTENANCE</t>
        </is>
      </c>
      <c r="E6" s="61" t="inlineStr"/>
      <c r="F6" s="61" t="inlineStr">
        <is>
          <t>O2 sensor replacement</t>
        </is>
      </c>
      <c r="G6" s="61" t="inlineStr">
        <is>
          <t>Electrical &amp; Other Major</t>
        </is>
      </c>
      <c r="H6" s="61" t="inlineStr">
        <is>
          <t>Quick Lube Express</t>
        </is>
      </c>
      <c r="I6" s="62" t="n">
        <v>297.15</v>
      </c>
      <c r="J6" s="61" t="inlineStr">
        <is>
          <t>INV-51104</t>
        </is>
      </c>
    </row>
    <row r="7" ht="15" customHeight="1" s="52">
      <c r="A7" s="56" t="inlineStr">
        <is>
          <t>COLDRV2 17 NISSAN ALTIMA</t>
        </is>
      </c>
      <c r="B7" s="72" t="n">
        <v>45721</v>
      </c>
      <c r="C7" s="58" t="n">
        <v>81966</v>
      </c>
      <c r="D7" s="56" t="inlineStr">
        <is>
          <t>MAINTENANCE</t>
        </is>
      </c>
      <c r="E7" s="56" t="inlineStr"/>
      <c r="F7" s="56" t="inlineStr">
        <is>
          <t>Tire rotation + balance</t>
        </is>
      </c>
      <c r="G7" s="56" t="inlineStr">
        <is>
          <t>Routine / Wear Items</t>
        </is>
      </c>
      <c r="H7" s="56" t="inlineStr">
        <is>
          <t>Midas Auto</t>
        </is>
      </c>
      <c r="I7" s="57" t="n">
        <v>74.66</v>
      </c>
      <c r="J7" s="56" t="inlineStr">
        <is>
          <t>INV-46434</t>
        </is>
      </c>
    </row>
    <row r="8" ht="15" customHeight="1" s="52">
      <c r="A8" s="61" t="inlineStr">
        <is>
          <t>COLDRV5 18 HONDA ACCORD</t>
        </is>
      </c>
      <c r="B8" s="71" t="n">
        <v>45723</v>
      </c>
      <c r="C8" s="63" t="n">
        <v>64737</v>
      </c>
      <c r="D8" s="61" t="inlineStr">
        <is>
          <t>REPAIR</t>
        </is>
      </c>
      <c r="E8" s="61" t="inlineStr"/>
      <c r="F8" s="61" t="inlineStr">
        <is>
          <t>Brake pad replacement (front)</t>
        </is>
      </c>
      <c r="G8" s="61" t="inlineStr">
        <is>
          <t>Routine / Wear Items</t>
        </is>
      </c>
      <c r="H8" s="61" t="inlineStr">
        <is>
          <t>Jiffy Lube</t>
        </is>
      </c>
      <c r="I8" s="62" t="n">
        <v>272.26</v>
      </c>
      <c r="J8" s="61" t="inlineStr">
        <is>
          <t>INV-65519</t>
        </is>
      </c>
    </row>
    <row r="9" ht="15" customHeight="1" s="52">
      <c r="A9" s="56" t="inlineStr">
        <is>
          <t>COLDRV8 21 TOY COR</t>
        </is>
      </c>
      <c r="B9" s="72" t="n">
        <v>45738</v>
      </c>
      <c r="C9" s="58" t="n">
        <v>40582</v>
      </c>
      <c r="D9" s="56" t="inlineStr">
        <is>
          <t>MAINTENANCE</t>
        </is>
      </c>
      <c r="E9" s="56" t="inlineStr"/>
      <c r="F9" s="56" t="inlineStr">
        <is>
          <t>Spark plug replacement</t>
        </is>
      </c>
      <c r="G9" s="56" t="inlineStr">
        <is>
          <t>Routine / Wear Items</t>
        </is>
      </c>
      <c r="H9" s="56" t="inlineStr">
        <is>
          <t>Quick Lube Express</t>
        </is>
      </c>
      <c r="I9" s="57" t="n">
        <v>179.67</v>
      </c>
      <c r="J9" s="56" t="inlineStr">
        <is>
          <t>INV-76562</t>
        </is>
      </c>
    </row>
    <row r="10" ht="15" customHeight="1" s="52">
      <c r="A10" s="61" t="inlineStr">
        <is>
          <t>COLDRV3 17 TOY PRIUS</t>
        </is>
      </c>
      <c r="B10" s="71" t="n">
        <v>45742</v>
      </c>
      <c r="C10" s="63" t="n">
        <v>85433</v>
      </c>
      <c r="D10" s="61" t="inlineStr">
        <is>
          <t>MAINTENANCE</t>
        </is>
      </c>
      <c r="E10" s="61" t="inlineStr"/>
      <c r="F10" s="61" t="inlineStr">
        <is>
          <t>Tire rotation + balance</t>
        </is>
      </c>
      <c r="G10" s="61" t="inlineStr">
        <is>
          <t>Routine / Wear Items</t>
        </is>
      </c>
      <c r="H10" s="61" t="inlineStr">
        <is>
          <t>Discount Tire</t>
        </is>
      </c>
      <c r="I10" s="62" t="n">
        <v>69.8</v>
      </c>
      <c r="J10" s="61" t="inlineStr">
        <is>
          <t>INV-44438</t>
        </is>
      </c>
    </row>
    <row r="11" ht="15" customHeight="1" s="52">
      <c r="A11" s="56" t="inlineStr">
        <is>
          <t>COLDRV8 21 TOY COR</t>
        </is>
      </c>
      <c r="B11" s="72" t="n">
        <v>45768</v>
      </c>
      <c r="C11" s="58" t="n">
        <v>42143</v>
      </c>
      <c r="D11" s="56" t="inlineStr">
        <is>
          <t>MAINTENANCE</t>
        </is>
      </c>
      <c r="E11" s="56" t="inlineStr"/>
      <c r="F11" s="56" t="inlineStr">
        <is>
          <t>Spark plug replacement</t>
        </is>
      </c>
      <c r="G11" s="56" t="inlineStr">
        <is>
          <t>Routine / Wear Items</t>
        </is>
      </c>
      <c r="H11" s="56" t="inlineStr">
        <is>
          <t>Toyota of Columbus</t>
        </is>
      </c>
      <c r="I11" s="57" t="n">
        <v>135.28</v>
      </c>
      <c r="J11" s="56" t="inlineStr">
        <is>
          <t>INV-84668</t>
        </is>
      </c>
    </row>
    <row r="12" ht="15" customHeight="1" s="52">
      <c r="A12" s="61" t="inlineStr">
        <is>
          <t>COLDRV1 22 TOY COR</t>
        </is>
      </c>
      <c r="B12" s="71" t="n">
        <v>45769</v>
      </c>
      <c r="C12" s="63" t="n">
        <v>32767</v>
      </c>
      <c r="D12" s="61" t="inlineStr">
        <is>
          <t>MAINTENANCE</t>
        </is>
      </c>
      <c r="E12" s="61" t="inlineStr"/>
      <c r="F12" s="61" t="inlineStr">
        <is>
          <t>Cabin air filter</t>
        </is>
      </c>
      <c r="G12" s="61" t="inlineStr">
        <is>
          <t>Routine / Wear Items</t>
        </is>
      </c>
      <c r="H12" s="61" t="inlineStr">
        <is>
          <t>Discount Tire</t>
        </is>
      </c>
      <c r="I12" s="62" t="n">
        <v>48.06</v>
      </c>
      <c r="J12" s="61" t="inlineStr">
        <is>
          <t>INV-36062</t>
        </is>
      </c>
    </row>
    <row r="13" ht="15" customHeight="1" s="52">
      <c r="A13" s="56" t="inlineStr">
        <is>
          <t>COLDRV4 2015 HONDA ACCORD</t>
        </is>
      </c>
      <c r="B13" s="72" t="n">
        <v>45772</v>
      </c>
      <c r="C13" s="58" t="n">
        <v>110132</v>
      </c>
      <c r="D13" s="56" t="inlineStr">
        <is>
          <t>MAINTENANCE</t>
        </is>
      </c>
      <c r="E13" s="56" t="inlineStr"/>
      <c r="F13" s="56" t="inlineStr">
        <is>
          <t>Wheel bearing replacement</t>
        </is>
      </c>
      <c r="G13" s="56" t="inlineStr">
        <is>
          <t>Steering &amp; Suspension</t>
        </is>
      </c>
      <c r="H13" s="56" t="inlineStr">
        <is>
          <t>Pep Boys</t>
        </is>
      </c>
      <c r="I13" s="57" t="n">
        <v>259.86</v>
      </c>
      <c r="J13" s="56" t="inlineStr">
        <is>
          <t>INV-84364</t>
        </is>
      </c>
    </row>
    <row r="14" ht="15" customHeight="1" s="52">
      <c r="A14" s="61" t="inlineStr">
        <is>
          <t>COLDRV5 18 HONDA ACCORD</t>
        </is>
      </c>
      <c r="B14" s="71" t="n">
        <v>45795</v>
      </c>
      <c r="C14" s="63" t="n">
        <v>67449</v>
      </c>
      <c r="D14" s="61" t="inlineStr">
        <is>
          <t>BREAK DOWN</t>
        </is>
      </c>
      <c r="E14" s="61" t="inlineStr">
        <is>
          <t>Stalled at intersection</t>
        </is>
      </c>
      <c r="F14" s="61" t="inlineStr">
        <is>
          <t>Alignment</t>
        </is>
      </c>
      <c r="G14" s="61" t="inlineStr">
        <is>
          <t>Routine / Wear Items</t>
        </is>
      </c>
      <c r="H14" s="61" t="inlineStr">
        <is>
          <t>Toyota of Columbus</t>
        </is>
      </c>
      <c r="I14" s="62" t="n">
        <v>129.21</v>
      </c>
      <c r="J14" s="61" t="inlineStr">
        <is>
          <t>INV-17944</t>
        </is>
      </c>
    </row>
    <row r="15" ht="15" customHeight="1" s="52">
      <c r="A15" s="56" t="inlineStr">
        <is>
          <t>COLDRV2 17 NISSAN ALTIMA</t>
        </is>
      </c>
      <c r="B15" s="72" t="n">
        <v>45799</v>
      </c>
      <c r="C15" s="58" t="n">
        <v>85369</v>
      </c>
      <c r="D15" s="56" t="inlineStr">
        <is>
          <t>REPAIR</t>
        </is>
      </c>
      <c r="E15" s="56" t="inlineStr"/>
      <c r="F15" s="56" t="inlineStr">
        <is>
          <t>Battery replacement</t>
        </is>
      </c>
      <c r="G15" s="56" t="inlineStr">
        <is>
          <t>Routine / Wear Items</t>
        </is>
      </c>
      <c r="H15" s="56" t="inlineStr">
        <is>
          <t>Firestone</t>
        </is>
      </c>
      <c r="I15" s="57" t="n">
        <v>140.95</v>
      </c>
      <c r="J15" s="56" t="inlineStr">
        <is>
          <t>INV-99593</t>
        </is>
      </c>
    </row>
    <row r="16" ht="15" customHeight="1" s="52">
      <c r="A16" s="61" t="inlineStr">
        <is>
          <t>COLDRV4 2015 HONDA ACCORD</t>
        </is>
      </c>
      <c r="B16" s="71" t="n">
        <v>45802</v>
      </c>
      <c r="C16" s="63" t="n">
        <v>111282</v>
      </c>
      <c r="D16" s="61" t="inlineStr">
        <is>
          <t>REPAIR</t>
        </is>
      </c>
      <c r="E16" s="61" t="inlineStr"/>
      <c r="F16" s="61" t="inlineStr">
        <is>
          <t>Power steering fluid flush</t>
        </is>
      </c>
      <c r="G16" s="61" t="inlineStr">
        <is>
          <t>Steering &amp; Suspension</t>
        </is>
      </c>
      <c r="H16" s="61" t="inlineStr">
        <is>
          <t>Honda Service Center</t>
        </is>
      </c>
      <c r="I16" s="62" t="n">
        <v>125.95</v>
      </c>
      <c r="J16" s="61" t="inlineStr">
        <is>
          <t>INV-96474</t>
        </is>
      </c>
    </row>
    <row r="17" ht="15" customHeight="1" s="52">
      <c r="A17" s="56" t="inlineStr">
        <is>
          <t>COLDRV3 17 TOY PRIUS</t>
        </is>
      </c>
      <c r="B17" s="72" t="n">
        <v>45816</v>
      </c>
      <c r="C17" s="58" t="n">
        <v>88623</v>
      </c>
      <c r="D17" s="56" t="inlineStr">
        <is>
          <t>MAINTENANCE</t>
        </is>
      </c>
      <c r="E17" s="56" t="inlineStr"/>
      <c r="F17" s="56" t="inlineStr">
        <is>
          <t>Brake pad replacement (rear)</t>
        </is>
      </c>
      <c r="G17" s="56" t="inlineStr">
        <is>
          <t>Routine / Wear Items</t>
        </is>
      </c>
      <c r="H17" s="56" t="inlineStr">
        <is>
          <t>Toyota of Columbus</t>
        </is>
      </c>
      <c r="I17" s="57" t="n">
        <v>226.24</v>
      </c>
      <c r="J17" s="56" t="inlineStr">
        <is>
          <t>INV-16175</t>
        </is>
      </c>
    </row>
    <row r="18" ht="15" customHeight="1" s="52">
      <c r="A18" s="61" t="inlineStr">
        <is>
          <t>COLDRV8 21 TOY COR</t>
        </is>
      </c>
      <c r="B18" s="71" t="n">
        <v>45819</v>
      </c>
      <c r="C18" s="63" t="n">
        <v>45314</v>
      </c>
      <c r="D18" s="61" t="inlineStr">
        <is>
          <t>MAINTENANCE</t>
        </is>
      </c>
      <c r="E18" s="61" t="inlineStr"/>
      <c r="F18" s="61" t="inlineStr">
        <is>
          <t>Wiper blade replacement</t>
        </is>
      </c>
      <c r="G18" s="61" t="inlineStr">
        <is>
          <t>Routine / Wear Items</t>
        </is>
      </c>
      <c r="H18" s="61" t="inlineStr">
        <is>
          <t>Meineke</t>
        </is>
      </c>
      <c r="I18" s="62" t="n">
        <v>36.43</v>
      </c>
      <c r="J18" s="61" t="inlineStr">
        <is>
          <t>INV-78522</t>
        </is>
      </c>
    </row>
    <row r="19" ht="15" customHeight="1" s="52">
      <c r="A19" s="56" t="inlineStr">
        <is>
          <t>COLDRV2 17 NISSAN ALTIMA</t>
        </is>
      </c>
      <c r="B19" s="72" t="n">
        <v>45828</v>
      </c>
      <c r="C19" s="58" t="n">
        <v>88664</v>
      </c>
      <c r="D19" s="56" t="inlineStr">
        <is>
          <t>REPAIR</t>
        </is>
      </c>
      <c r="E19" s="56" t="inlineStr"/>
      <c r="F19" s="56" t="inlineStr">
        <is>
          <t>Water pump replacement</t>
        </is>
      </c>
      <c r="G19" s="56" t="inlineStr">
        <is>
          <t>Engine &amp; Cooling</t>
        </is>
      </c>
      <c r="H19" s="56" t="inlineStr">
        <is>
          <t>Midas Auto</t>
        </is>
      </c>
      <c r="I19" s="57" t="n">
        <v>390.85</v>
      </c>
      <c r="J19" s="56" t="inlineStr">
        <is>
          <t>INV-45382</t>
        </is>
      </c>
    </row>
    <row r="20" ht="15" customHeight="1" s="52">
      <c r="A20" s="61" t="inlineStr">
        <is>
          <t>COLDRV3 17 TOY PRIUS</t>
        </is>
      </c>
      <c r="B20" s="71" t="n">
        <v>45850</v>
      </c>
      <c r="C20" s="63" t="n">
        <v>90049</v>
      </c>
      <c r="D20" s="61" t="inlineStr">
        <is>
          <t>REPAIR</t>
        </is>
      </c>
      <c r="E20" s="61" t="inlineStr"/>
      <c r="F20" s="61" t="inlineStr">
        <is>
          <t>Tie rod end replacement</t>
        </is>
      </c>
      <c r="G20" s="61" t="inlineStr">
        <is>
          <t>Steering &amp; Suspension</t>
        </is>
      </c>
      <c r="H20" s="61" t="inlineStr">
        <is>
          <t>Midas Auto</t>
        </is>
      </c>
      <c r="I20" s="62" t="n">
        <v>269.28</v>
      </c>
      <c r="J20" s="61" t="inlineStr">
        <is>
          <t>INV-60019</t>
        </is>
      </c>
    </row>
    <row r="21" ht="15" customHeight="1" s="52">
      <c r="A21" s="56" t="inlineStr">
        <is>
          <t>COLDRV1 22 TOY COR</t>
        </is>
      </c>
      <c r="B21" s="72" t="n">
        <v>45858</v>
      </c>
      <c r="C21" s="58" t="n">
        <v>35285</v>
      </c>
      <c r="D21" s="56" t="inlineStr">
        <is>
          <t>MAINTENANCE</t>
        </is>
      </c>
      <c r="E21" s="56" t="inlineStr"/>
      <c r="F21" s="56" t="inlineStr">
        <is>
          <t>Coolant flush</t>
        </is>
      </c>
      <c r="G21" s="56" t="inlineStr">
        <is>
          <t>Routine / Wear Items</t>
        </is>
      </c>
      <c r="H21" s="56" t="inlineStr">
        <is>
          <t>Honda Service Center</t>
        </is>
      </c>
      <c r="I21" s="57" t="n">
        <v>142.16</v>
      </c>
      <c r="J21" s="56" t="inlineStr">
        <is>
          <t>INV-65392</t>
        </is>
      </c>
    </row>
    <row r="22" ht="15" customHeight="1" s="52">
      <c r="A22" s="61" t="inlineStr">
        <is>
          <t>COLDRV5 18 HONDA ACCORD</t>
        </is>
      </c>
      <c r="B22" s="71" t="n">
        <v>45858</v>
      </c>
      <c r="C22" s="63" t="n">
        <v>68696</v>
      </c>
      <c r="D22" s="61" t="inlineStr">
        <is>
          <t>MAINTENANCE</t>
        </is>
      </c>
      <c r="E22" s="61" t="inlineStr"/>
      <c r="F22" s="61" t="inlineStr">
        <is>
          <t>Air filter replacement</t>
        </is>
      </c>
      <c r="G22" s="61" t="inlineStr">
        <is>
          <t>Routine / Wear Items</t>
        </is>
      </c>
      <c r="H22" s="61" t="inlineStr">
        <is>
          <t>Honda Service Center</t>
        </is>
      </c>
      <c r="I22" s="62" t="n">
        <v>29.21</v>
      </c>
      <c r="J22" s="61" t="inlineStr">
        <is>
          <t>INV-46509</t>
        </is>
      </c>
    </row>
    <row r="23" ht="15" customHeight="1" s="52">
      <c r="A23" s="56" t="inlineStr">
        <is>
          <t>COLDRV2 17 NISSAN ALTIMA</t>
        </is>
      </c>
      <c r="B23" s="72" t="n">
        <v>45876</v>
      </c>
      <c r="C23" s="58" t="n">
        <v>92268</v>
      </c>
      <c r="D23" s="56" t="inlineStr">
        <is>
          <t>MAINTENANCE</t>
        </is>
      </c>
      <c r="E23" s="56" t="inlineStr"/>
      <c r="F23" s="56" t="inlineStr">
        <is>
          <t>Radiator replacement</t>
        </is>
      </c>
      <c r="G23" s="56" t="inlineStr">
        <is>
          <t>Engine &amp; Cooling</t>
        </is>
      </c>
      <c r="H23" s="56" t="inlineStr">
        <is>
          <t>Quick Lube Express</t>
        </is>
      </c>
      <c r="I23" s="57" t="n">
        <v>480.17</v>
      </c>
      <c r="J23" s="56" t="inlineStr">
        <is>
          <t>INV-51347</t>
        </is>
      </c>
    </row>
    <row r="24" ht="15" customHeight="1" s="52">
      <c r="A24" s="61" t="inlineStr">
        <is>
          <t>COLDRV8 21 TOY COR</t>
        </is>
      </c>
      <c r="B24" s="73" t="n">
        <v>45879</v>
      </c>
      <c r="C24" t="n">
        <v>47182</v>
      </c>
      <c r="D24" t="inlineStr">
        <is>
          <t>MAINTENANCE</t>
        </is>
      </c>
      <c r="E24" t="inlineStr"/>
      <c r="F24" t="inlineStr">
        <is>
          <t>Water pump replacement</t>
        </is>
      </c>
      <c r="G24" t="inlineStr">
        <is>
          <t>Engine &amp; Cooling</t>
        </is>
      </c>
      <c r="H24" t="inlineStr">
        <is>
          <t>Honda Service Center</t>
        </is>
      </c>
      <c r="I24" t="n">
        <v>416.4</v>
      </c>
      <c r="J24" t="inlineStr">
        <is>
          <t>INV-98039</t>
        </is>
      </c>
    </row>
    <row r="25" ht="15" customHeight="1" s="52">
      <c r="A25" s="56" t="inlineStr">
        <is>
          <t>COLDRV4 2015 HONDA ACCORD</t>
        </is>
      </c>
      <c r="B25" s="72" t="n">
        <v>45882</v>
      </c>
      <c r="C25" s="58" t="n">
        <v>114333</v>
      </c>
      <c r="D25" s="56" t="inlineStr">
        <is>
          <t>MAINTENANCE</t>
        </is>
      </c>
      <c r="E25" s="56" t="inlineStr"/>
      <c r="F25" s="56" t="inlineStr">
        <is>
          <t>Headlight bulb replacement</t>
        </is>
      </c>
      <c r="G25" s="56" t="inlineStr">
        <is>
          <t>Routine / Wear Items</t>
        </is>
      </c>
      <c r="H25" s="56" t="inlineStr">
        <is>
          <t>Pep Boys</t>
        </is>
      </c>
      <c r="I25" s="57" t="n">
        <v>29.81</v>
      </c>
      <c r="J25" s="56" t="inlineStr">
        <is>
          <t>INV-80686</t>
        </is>
      </c>
    </row>
    <row r="26" ht="15" customHeight="1" s="52">
      <c r="A26" s="61" t="inlineStr">
        <is>
          <t>COLDRV1 22 TOY COR</t>
        </is>
      </c>
      <c r="B26" s="71" t="n">
        <v>45921</v>
      </c>
      <c r="C26" s="63" t="n">
        <v>37223</v>
      </c>
      <c r="D26" s="61" t="inlineStr">
        <is>
          <t>MAINTENANCE</t>
        </is>
      </c>
      <c r="E26" s="61" t="inlineStr"/>
      <c r="F26" s="61" t="inlineStr">
        <is>
          <t>AC recharge</t>
        </is>
      </c>
      <c r="G26" s="61" t="inlineStr">
        <is>
          <t>Electrical &amp; Other Major</t>
        </is>
      </c>
      <c r="H26" s="61" t="inlineStr">
        <is>
          <t>Midas Auto</t>
        </is>
      </c>
      <c r="I26" s="62" t="n">
        <v>110.22</v>
      </c>
      <c r="J26" s="61" t="inlineStr">
        <is>
          <t>INV-22676</t>
        </is>
      </c>
    </row>
    <row r="27" ht="15" customHeight="1" s="52">
      <c r="A27" s="56" t="inlineStr">
        <is>
          <t>COLDRV4 2015 HONDA ACCORD</t>
        </is>
      </c>
      <c r="B27" s="72" t="n">
        <v>45927</v>
      </c>
      <c r="C27" s="58" t="n">
        <v>118053</v>
      </c>
      <c r="D27" s="56" t="inlineStr">
        <is>
          <t>MAINTENANCE</t>
        </is>
      </c>
      <c r="E27" s="56" t="inlineStr"/>
      <c r="F27" s="56" t="inlineStr">
        <is>
          <t>Catalytic converter replacement</t>
        </is>
      </c>
      <c r="G27" s="56" t="inlineStr">
        <is>
          <t>Electrical &amp; Other Major</t>
        </is>
      </c>
      <c r="H27" s="56" t="inlineStr">
        <is>
          <t>Discount Tire</t>
        </is>
      </c>
      <c r="I27" s="57" t="n">
        <v>1248.1</v>
      </c>
      <c r="J27" s="56" t="inlineStr">
        <is>
          <t>INV-69177</t>
        </is>
      </c>
    </row>
    <row r="28" ht="15" customHeight="1" s="52">
      <c r="A28" s="61" t="inlineStr">
        <is>
          <t>COLDRV3 17 TOY PRIUS</t>
        </is>
      </c>
      <c r="B28" s="71" t="n">
        <v>45929</v>
      </c>
      <c r="C28" s="63" t="n">
        <v>93016</v>
      </c>
      <c r="D28" s="61" t="inlineStr">
        <is>
          <t>MAINTENANCE</t>
        </is>
      </c>
      <c r="E28" s="61" t="inlineStr"/>
      <c r="F28" s="61" t="inlineStr">
        <is>
          <t>Oil change + filter</t>
        </is>
      </c>
      <c r="G28" s="61" t="inlineStr">
        <is>
          <t>Routine / Wear Items</t>
        </is>
      </c>
      <c r="H28" s="61" t="inlineStr">
        <is>
          <t>Toyota of Columbus</t>
        </is>
      </c>
      <c r="I28" s="62" t="n">
        <v>72.20999999999999</v>
      </c>
      <c r="J28" s="61" t="inlineStr">
        <is>
          <t>INV-99353</t>
        </is>
      </c>
    </row>
    <row r="29" ht="15" customHeight="1" s="52">
      <c r="A29" s="56" t="inlineStr">
        <is>
          <t>COLDRV5 18 HONDA ACCORD</t>
        </is>
      </c>
      <c r="B29" s="72" t="n">
        <v>45937</v>
      </c>
      <c r="C29" s="58" t="n">
        <v>70519</v>
      </c>
      <c r="D29" s="56" t="inlineStr">
        <is>
          <t>BREAK DOWN</t>
        </is>
      </c>
      <c r="E29" s="56" t="inlineStr">
        <is>
          <t>Vehicle wouldn't start</t>
        </is>
      </c>
      <c r="F29" s="56" t="inlineStr">
        <is>
          <t>Coolant flush</t>
        </is>
      </c>
      <c r="G29" s="56" t="inlineStr">
        <is>
          <t>Routine / Wear Items</t>
        </is>
      </c>
      <c r="H29" s="56" t="inlineStr">
        <is>
          <t>Discount Tire</t>
        </is>
      </c>
      <c r="I29" s="57" t="n">
        <v>141.68</v>
      </c>
      <c r="J29" s="56" t="inlineStr">
        <is>
          <t>INV-22833</t>
        </is>
      </c>
    </row>
    <row r="30" ht="15" customHeight="1" s="52">
      <c r="A30" s="61" t="inlineStr">
        <is>
          <t>COLDRV8 21 TOY COR</t>
        </is>
      </c>
      <c r="B30" s="71" t="n">
        <v>45937</v>
      </c>
      <c r="C30" s="63" t="n">
        <v>49854</v>
      </c>
      <c r="D30" s="61" t="inlineStr">
        <is>
          <t>MAINTENANCE</t>
        </is>
      </c>
      <c r="E30" s="61" t="inlineStr"/>
      <c r="F30" s="61" t="inlineStr">
        <is>
          <t>Radiator replacement</t>
        </is>
      </c>
      <c r="G30" s="61" t="inlineStr">
        <is>
          <t>Engine &amp; Cooling</t>
        </is>
      </c>
      <c r="H30" s="61" t="inlineStr">
        <is>
          <t>Meineke</t>
        </is>
      </c>
      <c r="I30" s="62" t="n">
        <v>403.26</v>
      </c>
      <c r="J30" s="61" t="inlineStr">
        <is>
          <t>INV-83792</t>
        </is>
      </c>
    </row>
    <row r="31" ht="15" customHeight="1" s="52">
      <c r="A31" s="56" t="inlineStr">
        <is>
          <t>COLDRV2 17 NISSAN ALTIMA</t>
        </is>
      </c>
      <c r="B31" s="72" t="n">
        <v>45947</v>
      </c>
      <c r="C31" s="58" t="n">
        <v>94164</v>
      </c>
      <c r="D31" s="56" t="inlineStr">
        <is>
          <t>MAINTENANCE</t>
        </is>
      </c>
      <c r="E31" s="56" t="inlineStr"/>
      <c r="F31" s="56" t="inlineStr">
        <is>
          <t>Power steering fluid flush</t>
        </is>
      </c>
      <c r="G31" s="56" t="inlineStr">
        <is>
          <t>Steering &amp; Suspension</t>
        </is>
      </c>
      <c r="H31" s="56" t="inlineStr">
        <is>
          <t>Jiffy Lube</t>
        </is>
      </c>
      <c r="I31" s="57" t="n">
        <v>132.58</v>
      </c>
      <c r="J31" s="56" t="inlineStr">
        <is>
          <t>INV-37869</t>
        </is>
      </c>
    </row>
    <row r="32" ht="15" customHeight="1" s="52">
      <c r="A32" s="61" t="inlineStr">
        <is>
          <t>COLDRV4 2015 HONDA ACCORD</t>
        </is>
      </c>
      <c r="B32" s="71" t="n">
        <v>45962</v>
      </c>
      <c r="C32" s="63" t="n">
        <v>119868</v>
      </c>
      <c r="D32" s="61" t="inlineStr">
        <is>
          <t>MAINTENANCE</t>
        </is>
      </c>
      <c r="E32" s="61" t="inlineStr"/>
      <c r="F32" s="61" t="inlineStr">
        <is>
          <t>Headlight bulb replacement</t>
        </is>
      </c>
      <c r="G32" s="61" t="inlineStr">
        <is>
          <t>Routine / Wear Items</t>
        </is>
      </c>
      <c r="H32" s="61" t="inlineStr">
        <is>
          <t>Meineke</t>
        </is>
      </c>
      <c r="I32" s="62" t="n">
        <v>34.39</v>
      </c>
      <c r="J32" s="61" t="inlineStr">
        <is>
          <t>INV-38864</t>
        </is>
      </c>
    </row>
    <row r="33" ht="15" customHeight="1" s="52">
      <c r="A33" s="56" t="inlineStr">
        <is>
          <t>COLDRV8 21 TOY COR</t>
        </is>
      </c>
      <c r="B33" s="72" t="n">
        <v>45969</v>
      </c>
      <c r="C33" s="58" t="n">
        <v>50954</v>
      </c>
      <c r="D33" s="56" t="inlineStr">
        <is>
          <t>MAINTENANCE</t>
        </is>
      </c>
      <c r="E33" s="56" t="inlineStr"/>
      <c r="F33" s="56" t="inlineStr">
        <is>
          <t>Brake pad replacement (rear)</t>
        </is>
      </c>
      <c r="G33" s="56" t="inlineStr">
        <is>
          <t>Routine / Wear Items</t>
        </is>
      </c>
      <c r="H33" s="56" t="inlineStr">
        <is>
          <t>Toyota of Columbus</t>
        </is>
      </c>
      <c r="I33" s="57" t="n">
        <v>281.32</v>
      </c>
      <c r="J33" s="56" t="inlineStr">
        <is>
          <t>INV-42018</t>
        </is>
      </c>
    </row>
    <row r="34" ht="15" customHeight="1" s="52">
      <c r="A34" s="61" t="inlineStr">
        <is>
          <t>COLDRV4 2015 HONDA ACCORD</t>
        </is>
      </c>
      <c r="B34" s="71" t="n">
        <v>45982</v>
      </c>
      <c r="C34" s="63" t="n">
        <v>120958</v>
      </c>
      <c r="D34" s="61" t="inlineStr">
        <is>
          <t>REPAIR</t>
        </is>
      </c>
      <c r="E34" s="61" t="inlineStr"/>
      <c r="F34" s="61" t="inlineStr">
        <is>
          <t>Brake pad replacement (front)</t>
        </is>
      </c>
      <c r="G34" s="61" t="inlineStr">
        <is>
          <t>Routine / Wear Items</t>
        </is>
      </c>
      <c r="H34" s="61" t="inlineStr">
        <is>
          <t>Jiffy Lube</t>
        </is>
      </c>
      <c r="I34" s="62" t="n">
        <v>306.76</v>
      </c>
      <c r="J34" s="61" t="inlineStr">
        <is>
          <t>INV-19287</t>
        </is>
      </c>
    </row>
    <row r="35" ht="15" customHeight="1" s="52">
      <c r="A35" s="56" t="inlineStr">
        <is>
          <t>COLDRV1 22 TOY COR</t>
        </is>
      </c>
      <c r="B35" s="72" t="n">
        <v>45986</v>
      </c>
      <c r="C35" s="58" t="n">
        <v>39431</v>
      </c>
      <c r="D35" s="56" t="inlineStr">
        <is>
          <t>REPAIR</t>
        </is>
      </c>
      <c r="E35" s="56" t="inlineStr"/>
      <c r="F35" s="56" t="inlineStr">
        <is>
          <t>Sway bar link replacement</t>
        </is>
      </c>
      <c r="G35" s="56" t="inlineStr">
        <is>
          <t>Steering &amp; Suspension</t>
        </is>
      </c>
      <c r="H35" s="56" t="inlineStr">
        <is>
          <t>Toyota of Columbus</t>
        </is>
      </c>
      <c r="I35" s="57" t="n">
        <v>168.91</v>
      </c>
      <c r="J35" s="56" t="inlineStr">
        <is>
          <t>INV-59615</t>
        </is>
      </c>
    </row>
    <row r="36" ht="15" customHeight="1" s="52">
      <c r="A36" s="61" t="inlineStr">
        <is>
          <t>COLDRV1 22 TOY COR</t>
        </is>
      </c>
      <c r="B36" s="71" t="n">
        <v>46016</v>
      </c>
      <c r="C36" s="63" t="n">
        <v>42492</v>
      </c>
      <c r="D36" s="61" t="inlineStr">
        <is>
          <t>MAINTENANCE</t>
        </is>
      </c>
      <c r="E36" s="61" t="inlineStr"/>
      <c r="F36" s="61" t="inlineStr">
        <is>
          <t>Spark plug replacement</t>
        </is>
      </c>
      <c r="G36" s="61" t="inlineStr">
        <is>
          <t>Routine / Wear Items</t>
        </is>
      </c>
      <c r="H36" s="61" t="inlineStr">
        <is>
          <t>Pep Boys</t>
        </is>
      </c>
      <c r="I36" s="62" t="n">
        <v>154.25</v>
      </c>
      <c r="J36" s="61" t="inlineStr">
        <is>
          <t>INV-19116</t>
        </is>
      </c>
    </row>
    <row r="37" ht="15" customHeight="1" s="52">
      <c r="A37" s="56" t="inlineStr">
        <is>
          <t>COLDRV3 17 TOY PRIUS</t>
        </is>
      </c>
      <c r="B37" s="72" t="n">
        <v>46017</v>
      </c>
      <c r="C37" s="58" t="n">
        <v>96891</v>
      </c>
      <c r="D37" s="56" t="inlineStr">
        <is>
          <t>MAINTENANCE</t>
        </is>
      </c>
      <c r="E37" s="56" t="inlineStr"/>
      <c r="F37" s="56" t="inlineStr">
        <is>
          <t>Brake pad replacement (front)</t>
        </is>
      </c>
      <c r="G37" s="56" t="inlineStr">
        <is>
          <t>Routine / Wear Items</t>
        </is>
      </c>
      <c r="H37" s="56" t="inlineStr">
        <is>
          <t>Honda Service Center</t>
        </is>
      </c>
      <c r="I37" s="57" t="n">
        <v>221.09</v>
      </c>
      <c r="J37" s="56" t="inlineStr">
        <is>
          <t>INV-69470</t>
        </is>
      </c>
    </row>
    <row r="38" ht="15" customHeight="1" s="52">
      <c r="A38" s="61" t="inlineStr">
        <is>
          <t>COLDRV5 18 HONDA ACCORD</t>
        </is>
      </c>
      <c r="B38" s="71" t="n">
        <v>46026</v>
      </c>
      <c r="C38" s="63" t="n">
        <v>71379</v>
      </c>
      <c r="D38" s="61" t="inlineStr">
        <is>
          <t>ACCIDENT</t>
        </is>
      </c>
      <c r="E38" s="61" t="inlineStr">
        <is>
          <t>Side mirror clipped</t>
        </is>
      </c>
      <c r="F38" s="61" t="inlineStr">
        <is>
          <t>Check engine light diagnosis</t>
        </is>
      </c>
      <c r="G38" s="61" t="inlineStr">
        <is>
          <t>Electrical &amp; Other Major</t>
        </is>
      </c>
      <c r="H38" s="61" t="inlineStr">
        <is>
          <t>Midas Auto</t>
        </is>
      </c>
      <c r="I38" s="62" t="n">
        <v>96.55</v>
      </c>
      <c r="J38" s="61" t="inlineStr">
        <is>
          <t>INV-73653</t>
        </is>
      </c>
    </row>
    <row r="39" ht="15" customHeight="1" s="52">
      <c r="A39" s="56" t="inlineStr">
        <is>
          <t>COLDRV8 21 TOY COR</t>
        </is>
      </c>
      <c r="B39" s="72" t="n">
        <v>46036</v>
      </c>
      <c r="C39" s="58" t="n">
        <v>52921</v>
      </c>
      <c r="D39" s="56" t="inlineStr">
        <is>
          <t>MAINTENANCE</t>
        </is>
      </c>
      <c r="E39" s="56" t="inlineStr"/>
      <c r="F39" s="56" t="inlineStr">
        <is>
          <t>Clutch replacement</t>
        </is>
      </c>
      <c r="G39" s="56" t="inlineStr">
        <is>
          <t>Transmission &amp; Drivetrain</t>
        </is>
      </c>
      <c r="H39" s="56" t="inlineStr">
        <is>
          <t>Discount Tire</t>
        </is>
      </c>
      <c r="I39" s="57" t="n">
        <v>1228.17</v>
      </c>
      <c r="J39" s="56" t="inlineStr">
        <is>
          <t>INV-11025</t>
        </is>
      </c>
    </row>
    <row r="40" ht="15" customHeight="1" s="52">
      <c r="A40" s="61" t="inlineStr">
        <is>
          <t>COLDRV3 17 TOY PRIUS</t>
        </is>
      </c>
      <c r="B40" s="71" t="n">
        <v>46037</v>
      </c>
      <c r="C40" s="63" t="n">
        <v>100648</v>
      </c>
      <c r="D40" s="61" t="inlineStr">
        <is>
          <t>BREAK DOWN</t>
        </is>
      </c>
      <c r="E40" s="61" t="inlineStr">
        <is>
          <t>Strange noise from engine</t>
        </is>
      </c>
      <c r="F40" s="61" t="inlineStr">
        <is>
          <t>Motor mount replacement</t>
        </is>
      </c>
      <c r="G40" s="61" t="inlineStr">
        <is>
          <t>Engine &amp; Cooling</t>
        </is>
      </c>
      <c r="H40" s="61" t="inlineStr">
        <is>
          <t>Discount Tire</t>
        </is>
      </c>
      <c r="I40" s="62" t="n">
        <v>440.49</v>
      </c>
      <c r="J40" s="61" t="inlineStr">
        <is>
          <t>INV-23947</t>
        </is>
      </c>
    </row>
    <row r="41" ht="15" customHeight="1" s="52">
      <c r="A41" s="56" t="inlineStr">
        <is>
          <t>COLDRV4 2015 HONDA ACCORD</t>
        </is>
      </c>
      <c r="B41" s="72" t="n">
        <v>46067</v>
      </c>
      <c r="C41" s="58" t="n">
        <v>122732</v>
      </c>
      <c r="D41" s="56" t="inlineStr">
        <is>
          <t>MAINTENANCE</t>
        </is>
      </c>
      <c r="E41" s="56" t="inlineStr"/>
      <c r="F41" s="56" t="inlineStr">
        <is>
          <t>Cabin air filter</t>
        </is>
      </c>
      <c r="G41" s="56" t="inlineStr">
        <is>
          <t>Routine / Wear Items</t>
        </is>
      </c>
      <c r="H41" s="56" t="inlineStr">
        <is>
          <t>Meineke</t>
        </is>
      </c>
      <c r="I41" s="57" t="n">
        <v>33.97</v>
      </c>
      <c r="J41" s="56" t="inlineStr">
        <is>
          <t>INV-85525</t>
        </is>
      </c>
    </row>
    <row r="42" ht="15" customHeight="1" s="52">
      <c r="A42" s="61" t="inlineStr">
        <is>
          <t>COLDRV5 18 HONDA ACCORD</t>
        </is>
      </c>
      <c r="B42" s="71" t="n">
        <v>46073</v>
      </c>
      <c r="C42" s="63" t="n">
        <v>73821</v>
      </c>
      <c r="D42" s="61" t="inlineStr">
        <is>
          <t>BREAK DOWN</t>
        </is>
      </c>
      <c r="E42" s="61" t="inlineStr">
        <is>
          <t>Strange noise from engine</t>
        </is>
      </c>
      <c r="F42" s="61" t="inlineStr">
        <is>
          <t>Radiator replacement</t>
        </is>
      </c>
      <c r="G42" s="61" t="inlineStr">
        <is>
          <t>Engine &amp; Cooling</t>
        </is>
      </c>
      <c r="H42" s="61" t="inlineStr">
        <is>
          <t>Firestone</t>
        </is>
      </c>
      <c r="I42" s="62" t="n">
        <v>744.86</v>
      </c>
      <c r="J42" s="61" t="inlineStr">
        <is>
          <t>INV-69638</t>
        </is>
      </c>
    </row>
    <row r="43" ht="15" customHeight="1" s="52">
      <c r="A43" s="56" t="n"/>
      <c r="B43" s="74" t="n"/>
      <c r="C43" s="58" t="n"/>
      <c r="D43" s="56" t="n"/>
      <c r="E43" s="56" t="n"/>
      <c r="F43" s="56" t="n"/>
      <c r="G43" s="56" t="n"/>
      <c r="H43" s="56" t="n"/>
      <c r="I43" s="57" t="n"/>
      <c r="J43" s="56" t="n"/>
    </row>
    <row r="44" ht="15" customHeight="1" s="52">
      <c r="A44" s="61" t="n"/>
      <c r="B44" s="75" t="n"/>
      <c r="C44" s="63" t="n"/>
      <c r="D44" s="61" t="n"/>
      <c r="E44" s="61" t="n"/>
      <c r="F44" s="61" t="n"/>
      <c r="G44" s="61" t="n"/>
      <c r="H44" s="61" t="n"/>
      <c r="I44" s="62" t="n"/>
      <c r="J44" s="61" t="n"/>
    </row>
    <row r="45" ht="15" customHeight="1" s="52">
      <c r="A45" s="56" t="n"/>
      <c r="B45" s="74" t="n"/>
      <c r="C45" s="58" t="n"/>
      <c r="D45" s="56" t="n"/>
      <c r="E45" s="56" t="n"/>
      <c r="F45" s="56" t="n"/>
      <c r="G45" s="56" t="n"/>
      <c r="H45" s="56" t="n"/>
      <c r="I45" s="57" t="n"/>
      <c r="J45" s="56" t="n"/>
    </row>
    <row r="46" ht="15" customHeight="1" s="52">
      <c r="A46" s="61" t="n"/>
      <c r="B46" s="75" t="n"/>
      <c r="C46" s="63" t="n"/>
      <c r="D46" s="61" t="n"/>
      <c r="E46" s="61" t="n"/>
      <c r="F46" s="61" t="n"/>
      <c r="G46" s="61" t="n"/>
      <c r="H46" s="61" t="n"/>
      <c r="I46" s="62" t="n"/>
      <c r="J46" s="61" t="n"/>
    </row>
    <row r="47" ht="15" customHeight="1" s="52">
      <c r="A47" s="56" t="n"/>
      <c r="B47" s="74" t="n"/>
      <c r="C47" s="58" t="n"/>
      <c r="D47" s="56" t="n"/>
      <c r="E47" s="56" t="n"/>
      <c r="F47" s="56" t="n"/>
      <c r="G47" s="56" t="n"/>
      <c r="H47" s="56" t="n"/>
      <c r="I47" s="57" t="n"/>
      <c r="J47" s="56" t="n"/>
    </row>
    <row r="48" ht="15" customHeight="1" s="52">
      <c r="A48" s="61" t="n"/>
      <c r="B48" s="75" t="n"/>
      <c r="C48" s="63" t="n"/>
      <c r="D48" s="61" t="n"/>
      <c r="E48" s="61" t="n"/>
      <c r="F48" s="61" t="n"/>
      <c r="G48" s="61" t="n"/>
      <c r="H48" s="61" t="n"/>
      <c r="I48" s="62" t="n"/>
      <c r="J48" s="61" t="n"/>
    </row>
    <row r="49" ht="15" customHeight="1" s="52">
      <c r="A49" s="56" t="n"/>
      <c r="B49" s="74" t="n"/>
      <c r="C49" s="58" t="n"/>
      <c r="D49" s="56" t="n"/>
      <c r="E49" s="56" t="n"/>
      <c r="F49" s="56" t="n"/>
      <c r="G49" s="56" t="n"/>
      <c r="H49" s="56" t="n"/>
      <c r="I49" s="57" t="n"/>
      <c r="J49" s="56" t="n"/>
    </row>
    <row r="50" ht="15" customHeight="1" s="52">
      <c r="A50" s="61" t="n"/>
      <c r="B50" s="75" t="n"/>
      <c r="C50" s="63" t="n"/>
      <c r="D50" s="61" t="n"/>
      <c r="E50" s="61" t="n"/>
      <c r="F50" s="61" t="n"/>
      <c r="G50" s="61" t="n"/>
      <c r="H50" s="61" t="n"/>
      <c r="I50" s="62" t="n"/>
      <c r="J50" s="61" t="n"/>
    </row>
    <row r="51" ht="15" customHeight="1" s="52">
      <c r="A51" s="56" t="n"/>
      <c r="B51" s="74" t="n"/>
      <c r="C51" s="58" t="n"/>
      <c r="D51" s="56" t="n"/>
      <c r="E51" s="56" t="n"/>
      <c r="F51" s="56" t="n"/>
      <c r="G51" s="56" t="n"/>
      <c r="H51" s="56" t="n"/>
      <c r="I51" s="57" t="n"/>
      <c r="J51" s="56" t="n"/>
    </row>
    <row r="52" ht="15" customHeight="1" s="52">
      <c r="A52" s="61" t="n"/>
      <c r="B52" s="75" t="n"/>
      <c r="C52" s="63" t="n"/>
      <c r="D52" s="61" t="n"/>
      <c r="E52" s="61" t="n"/>
      <c r="F52" s="61" t="n"/>
      <c r="G52" s="61" t="n"/>
      <c r="H52" s="61" t="n"/>
      <c r="I52" s="62" t="n"/>
      <c r="J52" s="61" t="n"/>
    </row>
    <row r="53" ht="15" customHeight="1" s="52">
      <c r="A53" s="56" t="n"/>
      <c r="B53" s="74" t="n"/>
      <c r="C53" s="58" t="n"/>
      <c r="D53" s="56" t="n"/>
      <c r="E53" s="56" t="n"/>
      <c r="F53" s="56" t="n"/>
      <c r="G53" s="56" t="n"/>
      <c r="H53" s="56" t="n"/>
      <c r="I53" s="57" t="n"/>
      <c r="J53" s="56" t="n"/>
    </row>
    <row r="54" ht="15" customHeight="1" s="52">
      <c r="A54" s="61" t="n"/>
      <c r="B54" s="75" t="n"/>
      <c r="C54" s="63" t="n"/>
      <c r="D54" s="61" t="n"/>
      <c r="E54" s="61" t="n"/>
      <c r="F54" s="61" t="n"/>
      <c r="G54" s="61" t="n"/>
      <c r="H54" s="61" t="n"/>
      <c r="I54" s="62" t="n"/>
      <c r="J54" s="61" t="n"/>
    </row>
    <row r="55" ht="15" customHeight="1" s="52">
      <c r="A55" s="56" t="n"/>
      <c r="B55" s="74" t="n"/>
      <c r="C55" s="58" t="n"/>
      <c r="D55" s="56" t="n"/>
      <c r="E55" s="56" t="n"/>
      <c r="F55" s="56" t="n"/>
      <c r="G55" s="56" t="n"/>
      <c r="H55" s="56" t="n"/>
      <c r="I55" s="57" t="n"/>
      <c r="J55" s="56" t="n"/>
    </row>
    <row r="56" ht="15" customHeight="1" s="52">
      <c r="A56" s="61" t="n"/>
      <c r="B56" s="75" t="n"/>
      <c r="C56" s="63" t="n"/>
      <c r="D56" s="61" t="n"/>
      <c r="E56" s="61" t="n"/>
      <c r="F56" s="61" t="n"/>
      <c r="G56" s="61" t="n"/>
      <c r="H56" s="61" t="n"/>
      <c r="I56" s="62" t="n"/>
      <c r="J56" s="61" t="n"/>
    </row>
    <row r="57" ht="15" customHeight="1" s="52">
      <c r="A57" s="56" t="n"/>
      <c r="B57" s="74" t="n"/>
      <c r="C57" s="58" t="n"/>
      <c r="D57" s="56" t="n"/>
      <c r="E57" s="56" t="n"/>
      <c r="F57" s="56" t="n"/>
      <c r="G57" s="56" t="n"/>
      <c r="H57" s="56" t="n"/>
      <c r="I57" s="57" t="n"/>
      <c r="J57" s="56" t="n"/>
    </row>
    <row r="58" ht="15" customHeight="1" s="52">
      <c r="A58" s="61" t="n"/>
      <c r="B58" s="75" t="n"/>
      <c r="C58" s="63" t="n"/>
      <c r="D58" s="61" t="n"/>
      <c r="E58" s="61" t="n"/>
      <c r="F58" s="61" t="n"/>
      <c r="G58" s="61" t="n"/>
      <c r="H58" s="61" t="n"/>
      <c r="I58" s="62" t="n"/>
      <c r="J58" s="61" t="n"/>
    </row>
    <row r="59" ht="15" customHeight="1" s="52">
      <c r="A59" s="56" t="n"/>
      <c r="B59" s="74" t="n"/>
      <c r="C59" s="58" t="n"/>
      <c r="D59" s="56" t="n"/>
      <c r="E59" s="56" t="n"/>
      <c r="F59" s="56" t="n"/>
      <c r="G59" s="56" t="n"/>
      <c r="H59" s="56" t="n"/>
      <c r="I59" s="57" t="n"/>
      <c r="J59" s="56" t="n"/>
    </row>
    <row r="60" ht="15" customHeight="1" s="52">
      <c r="A60" s="61" t="n"/>
      <c r="B60" s="75" t="n"/>
      <c r="C60" s="63" t="n"/>
      <c r="D60" s="61" t="n"/>
      <c r="E60" s="61" t="n"/>
      <c r="F60" s="61" t="n"/>
      <c r="G60" s="61" t="n"/>
      <c r="H60" s="61" t="n"/>
      <c r="I60" s="62" t="n"/>
      <c r="J60" s="61" t="n"/>
    </row>
    <row r="61" ht="15" customHeight="1" s="52">
      <c r="A61" s="56" t="n"/>
      <c r="B61" s="74" t="n"/>
      <c r="C61" s="58" t="n"/>
      <c r="D61" s="56" t="n"/>
      <c r="E61" s="56" t="n"/>
      <c r="F61" s="56" t="n"/>
      <c r="G61" s="56" t="n"/>
      <c r="H61" s="56" t="n"/>
      <c r="I61" s="57" t="n"/>
      <c r="J61" s="56" t="n"/>
    </row>
    <row r="62" ht="15" customHeight="1" s="52">
      <c r="A62" s="61" t="n"/>
      <c r="B62" s="75" t="n"/>
      <c r="C62" s="63" t="n"/>
      <c r="D62" s="61" t="n"/>
      <c r="E62" s="61" t="n"/>
      <c r="F62" s="61" t="n"/>
      <c r="G62" s="61" t="n"/>
      <c r="H62" s="61" t="n"/>
      <c r="I62" s="62" t="n"/>
      <c r="J62" s="61" t="n"/>
    </row>
    <row r="63" ht="15" customHeight="1" s="52">
      <c r="A63" s="56" t="n"/>
      <c r="B63" s="74" t="n"/>
      <c r="C63" s="58" t="n"/>
      <c r="D63" s="56" t="n"/>
      <c r="E63" s="56" t="n"/>
      <c r="F63" s="56" t="n"/>
      <c r="G63" s="56" t="n"/>
      <c r="H63" s="56" t="n"/>
      <c r="I63" s="57" t="n"/>
      <c r="J63" s="56" t="n"/>
    </row>
    <row r="64" ht="15" customHeight="1" s="52">
      <c r="A64" s="61" t="n"/>
      <c r="B64" s="75" t="n"/>
      <c r="C64" s="63" t="n"/>
      <c r="D64" s="61" t="n"/>
      <c r="E64" s="61" t="n"/>
      <c r="F64" s="61" t="n"/>
      <c r="G64" s="61" t="n"/>
      <c r="H64" s="61" t="n"/>
      <c r="I64" s="62" t="n"/>
      <c r="J64" s="61" t="n"/>
    </row>
    <row r="65" ht="15" customHeight="1" s="52">
      <c r="A65" s="56" t="n"/>
      <c r="B65" s="74" t="n"/>
      <c r="C65" s="58" t="n"/>
      <c r="D65" s="56" t="n"/>
      <c r="E65" s="56" t="n"/>
      <c r="F65" s="56" t="n"/>
      <c r="G65" s="56" t="n"/>
      <c r="H65" s="56" t="n"/>
      <c r="I65" s="57" t="n"/>
      <c r="J65" s="56" t="n"/>
    </row>
    <row r="66" ht="15" customHeight="1" s="52">
      <c r="A66" s="61" t="n"/>
      <c r="B66" s="75" t="n"/>
      <c r="C66" s="63" t="n"/>
      <c r="D66" s="61" t="n"/>
      <c r="E66" s="61" t="n"/>
      <c r="F66" s="61" t="n"/>
      <c r="G66" s="61" t="n"/>
      <c r="H66" s="61" t="n"/>
      <c r="I66" s="62" t="n"/>
      <c r="J66" s="61" t="n"/>
    </row>
    <row r="67" ht="15" customHeight="1" s="52">
      <c r="A67" s="56" t="n"/>
      <c r="B67" s="74" t="n"/>
      <c r="C67" s="58" t="n"/>
      <c r="D67" s="56" t="n"/>
      <c r="E67" s="56" t="n"/>
      <c r="F67" s="56" t="n"/>
      <c r="G67" s="56" t="n"/>
      <c r="H67" s="56" t="n"/>
      <c r="I67" s="57" t="n"/>
      <c r="J67" s="56" t="n"/>
    </row>
    <row r="68" ht="15" customHeight="1" s="52">
      <c r="A68" s="61" t="n"/>
      <c r="B68" s="75" t="n"/>
      <c r="C68" s="63" t="n"/>
      <c r="D68" s="61" t="n"/>
      <c r="E68" s="61" t="n"/>
      <c r="F68" s="61" t="n"/>
      <c r="G68" s="61" t="n"/>
      <c r="H68" s="61" t="n"/>
      <c r="I68" s="62" t="n"/>
      <c r="J68" s="61" t="n"/>
    </row>
    <row r="69" ht="15" customHeight="1" s="52">
      <c r="A69" s="56" t="n"/>
      <c r="B69" s="74" t="n"/>
      <c r="C69" s="58" t="n"/>
      <c r="D69" s="56" t="n"/>
      <c r="E69" s="56" t="n"/>
      <c r="F69" s="56" t="n"/>
      <c r="G69" s="56" t="n"/>
      <c r="H69" s="56" t="n"/>
      <c r="I69" s="57" t="n"/>
      <c r="J69" s="56" t="n"/>
    </row>
    <row r="70" ht="15" customHeight="1" s="52">
      <c r="A70" s="61" t="n"/>
      <c r="B70" s="75" t="n"/>
      <c r="C70" s="63" t="n"/>
      <c r="D70" s="61" t="n"/>
      <c r="E70" s="61" t="n"/>
      <c r="F70" s="61" t="n"/>
      <c r="G70" s="61" t="n"/>
      <c r="H70" s="61" t="n"/>
      <c r="I70" s="62" t="n"/>
      <c r="J70" s="61" t="n"/>
    </row>
    <row r="71" ht="15" customHeight="1" s="52">
      <c r="A71" s="56" t="n"/>
      <c r="B71" s="74" t="n"/>
      <c r="C71" s="58" t="n"/>
      <c r="D71" s="56" t="n"/>
      <c r="E71" s="56" t="n"/>
      <c r="F71" s="56" t="n"/>
      <c r="G71" s="56" t="n"/>
      <c r="H71" s="56" t="n"/>
      <c r="I71" s="57" t="n"/>
      <c r="J71" s="56" t="n"/>
    </row>
    <row r="72" ht="15" customHeight="1" s="52">
      <c r="A72" s="61" t="n"/>
      <c r="B72" s="75" t="n"/>
      <c r="C72" s="63" t="n"/>
      <c r="D72" s="61" t="n"/>
      <c r="E72" s="61" t="n"/>
      <c r="F72" s="61" t="n"/>
      <c r="G72" s="61" t="n"/>
      <c r="H72" s="61" t="n"/>
      <c r="I72" s="62" t="n"/>
      <c r="J72" s="61" t="n"/>
    </row>
    <row r="73" ht="15" customHeight="1" s="52">
      <c r="A73" s="56" t="n"/>
      <c r="B73" s="74" t="n"/>
      <c r="C73" s="58" t="n"/>
      <c r="D73" s="56" t="n"/>
      <c r="E73" s="56" t="n"/>
      <c r="F73" s="56" t="n"/>
      <c r="G73" s="56" t="n"/>
      <c r="H73" s="56" t="n"/>
      <c r="I73" s="57" t="n"/>
      <c r="J73" s="56" t="n"/>
    </row>
    <row r="74" ht="15" customHeight="1" s="52">
      <c r="A74" s="61" t="n"/>
      <c r="B74" s="75" t="n"/>
      <c r="C74" s="63" t="n"/>
      <c r="D74" s="61" t="n"/>
      <c r="E74" s="61" t="n"/>
      <c r="F74" s="61" t="n"/>
      <c r="G74" s="61" t="n"/>
      <c r="H74" s="61" t="n"/>
      <c r="I74" s="62" t="n"/>
      <c r="J74" s="61" t="n"/>
    </row>
    <row r="75" ht="15" customHeight="1" s="52">
      <c r="A75" s="56" t="n"/>
      <c r="B75" s="74" t="n"/>
      <c r="C75" s="58" t="n"/>
      <c r="D75" s="56" t="n"/>
      <c r="E75" s="56" t="n"/>
      <c r="F75" s="56" t="n"/>
      <c r="G75" s="56" t="n"/>
      <c r="H75" s="56" t="n"/>
      <c r="I75" s="57" t="n"/>
      <c r="J75" s="56" t="n"/>
    </row>
    <row r="76" ht="15" customHeight="1" s="52">
      <c r="A76" s="61" t="n"/>
      <c r="B76" s="75" t="n"/>
      <c r="C76" s="63" t="n"/>
      <c r="D76" s="61" t="n"/>
      <c r="E76" s="61" t="n"/>
      <c r="F76" s="61" t="n"/>
      <c r="G76" s="61" t="n"/>
      <c r="H76" s="61" t="n"/>
      <c r="I76" s="62" t="n"/>
      <c r="J76" s="61" t="n"/>
    </row>
    <row r="77" ht="15" customHeight="1" s="52">
      <c r="A77" s="56" t="n"/>
      <c r="B77" s="74" t="n"/>
      <c r="C77" s="58" t="n"/>
      <c r="D77" s="56" t="n"/>
      <c r="E77" s="56" t="n"/>
      <c r="F77" s="56" t="n"/>
      <c r="G77" s="56" t="n"/>
      <c r="H77" s="56" t="n"/>
      <c r="I77" s="57" t="n"/>
      <c r="J77" s="56" t="n"/>
    </row>
    <row r="78" ht="15" customHeight="1" s="52">
      <c r="A78" s="61" t="n"/>
      <c r="B78" s="75" t="n"/>
      <c r="C78" s="63" t="n"/>
      <c r="D78" s="61" t="n"/>
      <c r="E78" s="61" t="n"/>
      <c r="F78" s="61" t="n"/>
      <c r="G78" s="61" t="n"/>
      <c r="H78" s="61" t="n"/>
      <c r="I78" s="62" t="n"/>
      <c r="J78" s="61" t="n"/>
    </row>
    <row r="79" ht="15" customHeight="1" s="52">
      <c r="A79" s="56" t="n"/>
      <c r="B79" s="74" t="n"/>
      <c r="C79" s="58" t="n"/>
      <c r="D79" s="56" t="n"/>
      <c r="E79" s="56" t="n"/>
      <c r="F79" s="56" t="n"/>
      <c r="G79" s="56" t="n"/>
      <c r="H79" s="56" t="n"/>
      <c r="I79" s="57" t="n"/>
      <c r="J79" s="56" t="n"/>
    </row>
    <row r="80" ht="15" customHeight="1" s="52">
      <c r="A80" s="61" t="n"/>
      <c r="B80" s="75" t="n"/>
      <c r="C80" s="63" t="n"/>
      <c r="D80" s="61" t="n"/>
      <c r="E80" s="61" t="n"/>
      <c r="F80" s="61" t="n"/>
      <c r="G80" s="61" t="n"/>
      <c r="H80" s="61" t="n"/>
      <c r="I80" s="62" t="n"/>
      <c r="J80" s="61" t="n"/>
    </row>
    <row r="81" ht="15" customHeight="1" s="52">
      <c r="A81" s="56" t="n"/>
      <c r="B81" s="74" t="n"/>
      <c r="C81" s="58" t="n"/>
      <c r="D81" s="56" t="n"/>
      <c r="E81" s="56" t="n"/>
      <c r="F81" s="56" t="n"/>
      <c r="G81" s="56" t="n"/>
      <c r="H81" s="56" t="n"/>
      <c r="I81" s="57" t="n"/>
      <c r="J81" s="56" t="n"/>
    </row>
    <row r="82" ht="15" customHeight="1" s="52">
      <c r="A82" s="61" t="n"/>
      <c r="B82" s="75" t="n"/>
      <c r="C82" s="63" t="n"/>
      <c r="D82" s="61" t="n"/>
      <c r="E82" s="61" t="n"/>
      <c r="F82" s="61" t="n"/>
      <c r="G82" s="61" t="n"/>
      <c r="H82" s="61" t="n"/>
      <c r="I82" s="62" t="n"/>
      <c r="J82" s="61" t="n"/>
    </row>
    <row r="83" ht="15" customHeight="1" s="52">
      <c r="A83" s="56" t="n"/>
      <c r="B83" s="74" t="n"/>
      <c r="C83" s="58" t="n"/>
      <c r="D83" s="56" t="n"/>
      <c r="E83" s="56" t="n"/>
      <c r="F83" s="56" t="n"/>
      <c r="G83" s="56" t="n"/>
      <c r="H83" s="56" t="n"/>
      <c r="I83" s="57" t="n"/>
      <c r="J83" s="56" t="n"/>
    </row>
    <row r="84" ht="15" customHeight="1" s="52">
      <c r="A84" s="61" t="n"/>
      <c r="B84" s="75" t="n"/>
      <c r="C84" s="63" t="n"/>
      <c r="D84" s="61" t="n"/>
      <c r="E84" s="61" t="n"/>
      <c r="F84" s="61" t="n"/>
      <c r="G84" s="61" t="n"/>
      <c r="H84" s="61" t="n"/>
      <c r="I84" s="62" t="n"/>
      <c r="J84" s="61" t="n"/>
    </row>
    <row r="85" ht="15" customHeight="1" s="52">
      <c r="A85" s="56" t="n"/>
      <c r="B85" s="74" t="n"/>
      <c r="C85" s="58" t="n"/>
      <c r="D85" s="56" t="n"/>
      <c r="E85" s="56" t="n"/>
      <c r="F85" s="56" t="n"/>
      <c r="G85" s="56" t="n"/>
      <c r="H85" s="56" t="n"/>
      <c r="I85" s="57" t="n"/>
      <c r="J85" s="56" t="n"/>
    </row>
    <row r="86" ht="15" customHeight="1" s="52">
      <c r="A86" s="61" t="n"/>
      <c r="B86" s="75" t="n"/>
      <c r="C86" s="63" t="n"/>
      <c r="D86" s="61" t="n"/>
      <c r="E86" s="61" t="n"/>
      <c r="F86" s="61" t="n"/>
      <c r="G86" s="61" t="n"/>
      <c r="H86" s="61" t="n"/>
      <c r="I86" s="62" t="n"/>
      <c r="J86" s="61" t="n"/>
    </row>
    <row r="87" ht="15" customHeight="1" s="52">
      <c r="A87" s="56" t="n"/>
      <c r="B87" s="74" t="n"/>
      <c r="C87" s="58" t="n"/>
      <c r="D87" s="56" t="n"/>
      <c r="E87" s="56" t="n"/>
      <c r="F87" s="56" t="n"/>
      <c r="G87" s="56" t="n"/>
      <c r="H87" s="56" t="n"/>
      <c r="I87" s="57" t="n"/>
      <c r="J87" s="56" t="n"/>
    </row>
    <row r="88" ht="15" customHeight="1" s="52">
      <c r="A88" s="61" t="n"/>
      <c r="B88" s="75" t="n"/>
      <c r="C88" s="63" t="n"/>
      <c r="D88" s="61" t="n"/>
      <c r="E88" s="61" t="n"/>
      <c r="F88" s="61" t="n"/>
      <c r="G88" s="61" t="n"/>
      <c r="H88" s="61" t="n"/>
      <c r="I88" s="62" t="n"/>
      <c r="J88" s="61" t="n"/>
    </row>
    <row r="89" ht="15" customHeight="1" s="52">
      <c r="A89" s="56" t="n"/>
      <c r="B89" s="74" t="n"/>
      <c r="C89" s="58" t="n"/>
      <c r="D89" s="56" t="n"/>
      <c r="E89" s="56" t="n"/>
      <c r="F89" s="56" t="n"/>
      <c r="G89" s="56" t="n"/>
      <c r="H89" s="56" t="n"/>
      <c r="I89" s="57" t="n"/>
      <c r="J89" s="56" t="n"/>
    </row>
    <row r="90" ht="15" customHeight="1" s="52">
      <c r="A90" s="61" t="n"/>
      <c r="B90" s="75" t="n"/>
      <c r="C90" s="63" t="n"/>
      <c r="D90" s="61" t="n"/>
      <c r="E90" s="61" t="n"/>
      <c r="F90" s="61" t="n"/>
      <c r="G90" s="61" t="n"/>
      <c r="H90" s="61" t="n"/>
      <c r="I90" s="62" t="n"/>
      <c r="J90" s="61" t="n"/>
    </row>
    <row r="91" ht="15" customHeight="1" s="52">
      <c r="A91" s="56" t="n"/>
      <c r="B91" s="74" t="n"/>
      <c r="C91" s="58" t="n"/>
      <c r="D91" s="56" t="n"/>
      <c r="E91" s="56" t="n"/>
      <c r="F91" s="56" t="n"/>
      <c r="G91" s="56" t="n"/>
      <c r="H91" s="56" t="n"/>
      <c r="I91" s="57" t="n"/>
      <c r="J91" s="56" t="n"/>
    </row>
    <row r="92" ht="15" customHeight="1" s="52">
      <c r="A92" s="61" t="n"/>
      <c r="B92" s="75" t="n"/>
      <c r="C92" s="63" t="n"/>
      <c r="D92" s="61" t="n"/>
      <c r="E92" s="61" t="n"/>
      <c r="F92" s="61" t="n"/>
      <c r="G92" s="61" t="n"/>
      <c r="H92" s="61" t="n"/>
      <c r="I92" s="62" t="n"/>
      <c r="J92" s="61" t="n"/>
    </row>
    <row r="93" ht="15" customHeight="1" s="52">
      <c r="A93" s="56" t="n"/>
      <c r="B93" s="74" t="n"/>
      <c r="C93" s="58" t="n"/>
      <c r="D93" s="56" t="n"/>
      <c r="E93" s="56" t="n"/>
      <c r="F93" s="56" t="n"/>
      <c r="G93" s="56" t="n"/>
      <c r="H93" s="56" t="n"/>
      <c r="I93" s="57" t="n"/>
      <c r="J93" s="56" t="n"/>
    </row>
    <row r="94" ht="15" customHeight="1" s="52">
      <c r="A94" s="61" t="n"/>
      <c r="B94" s="75" t="n"/>
      <c r="C94" s="63" t="n"/>
      <c r="D94" s="61" t="n"/>
      <c r="E94" s="61" t="n"/>
      <c r="F94" s="61" t="n"/>
      <c r="G94" s="61" t="n"/>
      <c r="H94" s="61" t="n"/>
      <c r="I94" s="62" t="n"/>
      <c r="J94" s="61" t="n"/>
    </row>
    <row r="95" ht="15" customHeight="1" s="52">
      <c r="A95" s="56" t="n"/>
      <c r="B95" s="74" t="n"/>
      <c r="C95" s="58" t="n"/>
      <c r="D95" s="56" t="n"/>
      <c r="E95" s="56" t="n"/>
      <c r="F95" s="56" t="n"/>
      <c r="G95" s="56" t="n"/>
      <c r="H95" s="56" t="n"/>
      <c r="I95" s="57" t="n"/>
      <c r="J95" s="56" t="n"/>
    </row>
    <row r="96" ht="15" customHeight="1" s="52">
      <c r="A96" s="61" t="n"/>
      <c r="B96" s="75" t="n"/>
      <c r="C96" s="63" t="n"/>
      <c r="D96" s="61" t="n"/>
      <c r="E96" s="61" t="n"/>
      <c r="F96" s="61" t="n"/>
      <c r="G96" s="61" t="n"/>
      <c r="H96" s="61" t="n"/>
      <c r="I96" s="62" t="n"/>
      <c r="J96" s="61" t="n"/>
    </row>
    <row r="97" ht="15" customHeight="1" s="52">
      <c r="A97" s="56" t="n"/>
      <c r="B97" s="74" t="n"/>
      <c r="C97" s="58" t="n"/>
      <c r="D97" s="56" t="n"/>
      <c r="E97" s="56" t="n"/>
      <c r="F97" s="56" t="n"/>
      <c r="G97" s="56" t="n"/>
      <c r="H97" s="56" t="n"/>
      <c r="I97" s="57" t="n"/>
      <c r="J97" s="56" t="n"/>
    </row>
    <row r="98" ht="15" customHeight="1" s="52">
      <c r="A98" s="61" t="n"/>
      <c r="B98" s="75" t="n"/>
      <c r="C98" s="63" t="n"/>
      <c r="D98" s="61" t="n"/>
      <c r="E98" s="61" t="n"/>
      <c r="F98" s="61" t="n"/>
      <c r="G98" s="61" t="n"/>
      <c r="H98" s="61" t="n"/>
      <c r="I98" s="62" t="n"/>
      <c r="J98" s="61" t="n"/>
    </row>
    <row r="99" ht="15" customHeight="1" s="52">
      <c r="A99" s="56" t="n"/>
      <c r="B99" s="74" t="n"/>
      <c r="C99" s="58" t="n"/>
      <c r="D99" s="56" t="n"/>
      <c r="E99" s="56" t="n"/>
      <c r="F99" s="56" t="n"/>
      <c r="G99" s="56" t="n"/>
      <c r="H99" s="56" t="n"/>
      <c r="I99" s="57" t="n"/>
      <c r="J99" s="56" t="n"/>
    </row>
    <row r="100" ht="15" customHeight="1" s="52">
      <c r="A100" s="61" t="n"/>
      <c r="B100" s="75" t="n"/>
      <c r="C100" s="63" t="n"/>
      <c r="D100" s="61" t="n"/>
      <c r="E100" s="61" t="n"/>
      <c r="F100" s="61" t="n"/>
      <c r="G100" s="61" t="n"/>
      <c r="H100" s="61" t="n"/>
      <c r="I100" s="62" t="n"/>
      <c r="J100" s="61" t="n"/>
    </row>
    <row r="101" ht="15" customHeight="1" s="52">
      <c r="A101" s="56" t="n"/>
      <c r="B101" s="74" t="n"/>
      <c r="C101" s="58" t="n"/>
      <c r="D101" s="56" t="n"/>
      <c r="E101" s="56" t="n"/>
      <c r="F101" s="56" t="n"/>
      <c r="G101" s="56" t="n"/>
      <c r="H101" s="56" t="n"/>
      <c r="I101" s="57" t="n"/>
      <c r="J101" s="56" t="n"/>
    </row>
    <row r="102" ht="15" customHeight="1" s="52">
      <c r="A102" s="61" t="n"/>
      <c r="B102" s="75" t="n"/>
      <c r="C102" s="63" t="n"/>
      <c r="D102" s="61" t="n"/>
      <c r="E102" s="61" t="n"/>
      <c r="F102" s="61" t="n"/>
      <c r="G102" s="61" t="n"/>
      <c r="H102" s="61" t="n"/>
      <c r="I102" s="62" t="n"/>
      <c r="J102" s="61" t="n"/>
    </row>
    <row r="103" ht="15" customHeight="1" s="52">
      <c r="A103" s="56" t="n"/>
      <c r="B103" s="74" t="n"/>
      <c r="C103" s="58" t="n"/>
      <c r="D103" s="56" t="n"/>
      <c r="E103" s="56" t="n"/>
      <c r="F103" s="56" t="n"/>
      <c r="G103" s="56" t="n"/>
      <c r="H103" s="56" t="n"/>
      <c r="I103" s="57" t="n"/>
      <c r="J103" s="56" t="n"/>
    </row>
    <row r="104" ht="15" customHeight="1" s="52">
      <c r="A104" s="61" t="n"/>
      <c r="B104" s="75" t="n"/>
      <c r="C104" s="63" t="n"/>
      <c r="D104" s="61" t="n"/>
      <c r="E104" s="61" t="n"/>
      <c r="F104" s="61" t="n"/>
      <c r="G104" s="61" t="n"/>
      <c r="H104" s="61" t="n"/>
      <c r="I104" s="62" t="n"/>
      <c r="J104" s="61" t="n"/>
    </row>
    <row r="105" ht="15" customHeight="1" s="52">
      <c r="A105" s="56" t="n"/>
      <c r="B105" s="74" t="n"/>
      <c r="C105" s="58" t="n"/>
      <c r="D105" s="56" t="n"/>
      <c r="E105" s="56" t="n"/>
      <c r="F105" s="56" t="n"/>
      <c r="G105" s="56" t="n"/>
      <c r="H105" s="56" t="n"/>
      <c r="I105" s="57" t="n"/>
      <c r="J105" s="56" t="n"/>
    </row>
    <row r="106" ht="15" customHeight="1" s="52">
      <c r="A106" s="61" t="n"/>
      <c r="B106" s="75" t="n"/>
      <c r="C106" s="63" t="n"/>
      <c r="D106" s="61" t="n"/>
      <c r="E106" s="61" t="n"/>
      <c r="F106" s="61" t="n"/>
      <c r="G106" s="61" t="n"/>
      <c r="H106" s="61" t="n"/>
      <c r="I106" s="62" t="n"/>
      <c r="J106" s="61" t="n"/>
    </row>
    <row r="107" ht="15" customHeight="1" s="52">
      <c r="A107" s="56" t="n"/>
      <c r="B107" s="74" t="n"/>
      <c r="C107" s="58" t="n"/>
      <c r="D107" s="56" t="n"/>
      <c r="E107" s="56" t="n"/>
      <c r="F107" s="56" t="n"/>
      <c r="G107" s="56" t="n"/>
      <c r="H107" s="56" t="n"/>
      <c r="I107" s="57" t="n"/>
      <c r="J107" s="56" t="n"/>
    </row>
    <row r="108" ht="15" customHeight="1" s="52">
      <c r="A108" s="61" t="n"/>
      <c r="B108" s="75" t="n"/>
      <c r="C108" s="63" t="n"/>
      <c r="D108" s="61" t="n"/>
      <c r="E108" s="61" t="n"/>
      <c r="F108" s="61" t="n"/>
      <c r="G108" s="61" t="n"/>
      <c r="H108" s="61" t="n"/>
      <c r="I108" s="62" t="n"/>
      <c r="J108" s="61" t="n"/>
    </row>
    <row r="109" ht="15" customHeight="1" s="52">
      <c r="A109" s="56" t="n"/>
      <c r="B109" s="74" t="n"/>
      <c r="C109" s="58" t="n"/>
      <c r="D109" s="56" t="n"/>
      <c r="E109" s="56" t="n"/>
      <c r="F109" s="56" t="n"/>
      <c r="G109" s="56" t="n"/>
      <c r="H109" s="56" t="n"/>
      <c r="I109" s="57" t="n"/>
      <c r="J109" s="56" t="n"/>
    </row>
    <row r="110" ht="15" customHeight="1" s="52">
      <c r="A110" s="61" t="n"/>
      <c r="B110" s="75" t="n"/>
      <c r="C110" s="63" t="n"/>
      <c r="D110" s="61" t="n"/>
      <c r="E110" s="61" t="n"/>
      <c r="F110" s="61" t="n"/>
      <c r="G110" s="61" t="n"/>
      <c r="H110" s="61" t="n"/>
      <c r="I110" s="62" t="n"/>
      <c r="J110" s="61" t="n"/>
    </row>
    <row r="111" ht="15" customHeight="1" s="52">
      <c r="A111" s="56" t="n"/>
      <c r="B111" s="74" t="n"/>
      <c r="C111" s="58" t="n"/>
      <c r="D111" s="56" t="n"/>
      <c r="E111" s="56" t="n"/>
      <c r="F111" s="56" t="n"/>
      <c r="G111" s="56" t="n"/>
      <c r="H111" s="56" t="n"/>
      <c r="I111" s="57" t="n"/>
      <c r="J111" s="56" t="n"/>
    </row>
    <row r="112" ht="15" customHeight="1" s="52">
      <c r="A112" s="61" t="n"/>
      <c r="B112" s="75" t="n"/>
      <c r="C112" s="63" t="n"/>
      <c r="D112" s="61" t="n"/>
      <c r="E112" s="61" t="n"/>
      <c r="F112" s="61" t="n"/>
      <c r="G112" s="61" t="n"/>
      <c r="H112" s="61" t="n"/>
      <c r="I112" s="62" t="n"/>
      <c r="J112" s="61" t="n"/>
    </row>
    <row r="113" ht="15" customHeight="1" s="52">
      <c r="A113" s="56" t="n"/>
      <c r="B113" s="74" t="n"/>
      <c r="C113" s="58" t="n"/>
      <c r="D113" s="56" t="n"/>
      <c r="E113" s="56" t="n"/>
      <c r="F113" s="56" t="n"/>
      <c r="G113" s="56" t="n"/>
      <c r="H113" s="56" t="n"/>
      <c r="I113" s="57" t="n"/>
      <c r="J113" s="56" t="n"/>
    </row>
    <row r="114" ht="15" customHeight="1" s="52">
      <c r="A114" s="61" t="n"/>
      <c r="B114" s="75" t="n"/>
      <c r="C114" s="63" t="n"/>
      <c r="D114" s="61" t="n"/>
      <c r="E114" s="61" t="n"/>
      <c r="F114" s="61" t="n"/>
      <c r="G114" s="61" t="n"/>
      <c r="H114" s="61" t="n"/>
      <c r="I114" s="62" t="n"/>
      <c r="J114" s="61" t="n"/>
    </row>
    <row r="115" ht="15" customHeight="1" s="52">
      <c r="A115" s="56" t="n"/>
      <c r="B115" s="74" t="n"/>
      <c r="C115" s="58" t="n"/>
      <c r="D115" s="56" t="n"/>
      <c r="E115" s="56" t="n"/>
      <c r="F115" s="56" t="n"/>
      <c r="G115" s="56" t="n"/>
      <c r="H115" s="56" t="n"/>
      <c r="I115" s="57" t="n"/>
      <c r="J115" s="56" t="n"/>
    </row>
    <row r="116" ht="15" customHeight="1" s="52">
      <c r="A116" s="61" t="n"/>
      <c r="B116" s="75" t="n"/>
      <c r="C116" s="63" t="n"/>
      <c r="D116" s="61" t="n"/>
      <c r="E116" s="61" t="n"/>
      <c r="F116" s="61" t="n"/>
      <c r="G116" s="61" t="n"/>
      <c r="H116" s="61" t="n"/>
      <c r="I116" s="62" t="n"/>
      <c r="J116" s="61" t="n"/>
    </row>
    <row r="117" ht="15" customHeight="1" s="52">
      <c r="A117" s="56" t="n"/>
      <c r="B117" s="74" t="n"/>
      <c r="C117" s="58" t="n"/>
      <c r="D117" s="56" t="n"/>
      <c r="E117" s="56" t="n"/>
      <c r="F117" s="56" t="n"/>
      <c r="G117" s="56" t="n"/>
      <c r="H117" s="56" t="n"/>
      <c r="I117" s="57" t="n"/>
      <c r="J117" s="56" t="n"/>
    </row>
    <row r="118" ht="15" customHeight="1" s="52">
      <c r="A118" s="61" t="n"/>
      <c r="B118" s="75" t="n"/>
      <c r="C118" s="63" t="n"/>
      <c r="D118" s="61" t="n"/>
      <c r="E118" s="61" t="n"/>
      <c r="F118" s="61" t="n"/>
      <c r="G118" s="61" t="n"/>
      <c r="H118" s="61" t="n"/>
      <c r="I118" s="62" t="n"/>
      <c r="J118" s="61" t="n"/>
    </row>
    <row r="119" ht="15" customHeight="1" s="52">
      <c r="A119" s="56" t="n"/>
      <c r="B119" s="74" t="n"/>
      <c r="C119" s="58" t="n"/>
      <c r="D119" s="56" t="n"/>
      <c r="E119" s="56" t="n"/>
      <c r="F119" s="56" t="n"/>
      <c r="G119" s="56" t="n"/>
      <c r="H119" s="56" t="n"/>
      <c r="I119" s="57" t="n"/>
      <c r="J119" s="56" t="n"/>
    </row>
    <row r="120" ht="15" customHeight="1" s="52">
      <c r="A120" s="61" t="n"/>
      <c r="B120" s="75" t="n"/>
      <c r="C120" s="63" t="n"/>
      <c r="D120" s="61" t="n"/>
      <c r="E120" s="61" t="n"/>
      <c r="F120" s="61" t="n"/>
      <c r="G120" s="61" t="n"/>
      <c r="H120" s="61" t="n"/>
      <c r="I120" s="62" t="n"/>
      <c r="J120" s="61" t="n"/>
    </row>
    <row r="121" ht="15" customHeight="1" s="52">
      <c r="A121" s="56" t="n"/>
      <c r="B121" s="74" t="n"/>
      <c r="C121" s="58" t="n"/>
      <c r="D121" s="56" t="n"/>
      <c r="E121" s="56" t="n"/>
      <c r="F121" s="56" t="n"/>
      <c r="G121" s="56" t="n"/>
      <c r="H121" s="56" t="n"/>
      <c r="I121" s="57" t="n"/>
      <c r="J121" s="56" t="n"/>
    </row>
    <row r="122" ht="15" customHeight="1" s="52">
      <c r="A122" s="61" t="n"/>
      <c r="B122" s="75" t="n"/>
      <c r="C122" s="63" t="n"/>
      <c r="D122" s="61" t="n"/>
      <c r="E122" s="61" t="n"/>
      <c r="F122" s="61" t="n"/>
      <c r="G122" s="61" t="n"/>
      <c r="H122" s="61" t="n"/>
      <c r="I122" s="62" t="n"/>
      <c r="J122" s="61" t="n"/>
    </row>
    <row r="123" ht="15" customHeight="1" s="52">
      <c r="A123" s="56" t="n"/>
      <c r="B123" s="74" t="n"/>
      <c r="C123" s="58" t="n"/>
      <c r="D123" s="56" t="n"/>
      <c r="E123" s="56" t="n"/>
      <c r="F123" s="56" t="n"/>
      <c r="G123" s="56" t="n"/>
      <c r="H123" s="56" t="n"/>
      <c r="I123" s="57" t="n"/>
      <c r="J123" s="56" t="n"/>
    </row>
    <row r="124" ht="15" customHeight="1" s="52">
      <c r="A124" s="61" t="n"/>
      <c r="B124" s="75" t="n"/>
      <c r="C124" s="63" t="n"/>
      <c r="D124" s="61" t="n"/>
      <c r="E124" s="61" t="n"/>
      <c r="F124" s="61" t="n"/>
      <c r="G124" s="61" t="n"/>
      <c r="H124" s="61" t="n"/>
      <c r="I124" s="62" t="n"/>
      <c r="J124" s="61" t="n"/>
    </row>
    <row r="125" ht="15" customHeight="1" s="52">
      <c r="A125" s="56" t="n"/>
      <c r="B125" s="74" t="n"/>
      <c r="C125" s="58" t="n"/>
      <c r="D125" s="56" t="n"/>
      <c r="E125" s="56" t="n"/>
      <c r="F125" s="56" t="n"/>
      <c r="G125" s="56" t="n"/>
      <c r="H125" s="56" t="n"/>
      <c r="I125" s="57" t="n"/>
      <c r="J125" s="56" t="n"/>
    </row>
    <row r="126" ht="15" customHeight="1" s="52">
      <c r="A126" s="61" t="n"/>
      <c r="B126" s="75" t="n"/>
      <c r="C126" s="63" t="n"/>
      <c r="D126" s="61" t="n"/>
      <c r="E126" s="61" t="n"/>
      <c r="F126" s="61" t="n"/>
      <c r="G126" s="61" t="n"/>
      <c r="H126" s="61" t="n"/>
      <c r="I126" s="62" t="n"/>
      <c r="J126" s="61" t="n"/>
    </row>
    <row r="127" ht="15" customHeight="1" s="52">
      <c r="A127" s="56" t="n"/>
      <c r="B127" s="74" t="n"/>
      <c r="C127" s="58" t="n"/>
      <c r="D127" s="56" t="n"/>
      <c r="E127" s="56" t="n"/>
      <c r="F127" s="56" t="n"/>
      <c r="G127" s="56" t="n"/>
      <c r="H127" s="56" t="n"/>
      <c r="I127" s="57" t="n"/>
      <c r="J127" s="56" t="n"/>
    </row>
    <row r="128" ht="15" customHeight="1" s="52">
      <c r="A128" s="61" t="n"/>
      <c r="B128" s="75" t="n"/>
      <c r="C128" s="63" t="n"/>
      <c r="D128" s="61" t="n"/>
      <c r="E128" s="61" t="n"/>
      <c r="F128" s="61" t="n"/>
      <c r="G128" s="61" t="n"/>
      <c r="H128" s="61" t="n"/>
      <c r="I128" s="62" t="n"/>
      <c r="J128" s="61" t="n"/>
    </row>
    <row r="129" ht="15" customHeight="1" s="52">
      <c r="A129" s="56" t="n"/>
      <c r="B129" s="74" t="n"/>
      <c r="C129" s="58" t="n"/>
      <c r="D129" s="56" t="n"/>
      <c r="E129" s="56" t="n"/>
      <c r="F129" s="56" t="n"/>
      <c r="G129" s="56" t="n"/>
      <c r="H129" s="56" t="n"/>
      <c r="I129" s="57" t="n"/>
      <c r="J129" s="56" t="n"/>
    </row>
    <row r="130" ht="15" customHeight="1" s="52">
      <c r="A130" s="61" t="n"/>
      <c r="B130" s="75" t="n"/>
      <c r="C130" s="63" t="n"/>
      <c r="D130" s="61" t="n"/>
      <c r="E130" s="61" t="n"/>
      <c r="F130" s="61" t="n"/>
      <c r="G130" s="61" t="n"/>
      <c r="H130" s="61" t="n"/>
      <c r="I130" s="62" t="n"/>
      <c r="J130" s="61" t="n"/>
    </row>
    <row r="131" ht="15" customHeight="1" s="52">
      <c r="A131" s="56" t="n"/>
      <c r="B131" s="74" t="n"/>
      <c r="C131" s="58" t="n"/>
      <c r="D131" s="56" t="n"/>
      <c r="E131" s="56" t="n"/>
      <c r="F131" s="56" t="n"/>
      <c r="G131" s="56" t="n"/>
      <c r="H131" s="56" t="n"/>
      <c r="I131" s="57" t="n"/>
      <c r="J131" s="56" t="n"/>
    </row>
    <row r="132" ht="15" customHeight="1" s="52">
      <c r="A132" s="61" t="n"/>
      <c r="B132" s="75" t="n"/>
      <c r="C132" s="63" t="n"/>
      <c r="D132" s="61" t="n"/>
      <c r="E132" s="61" t="n"/>
      <c r="F132" s="61" t="n"/>
      <c r="G132" s="61" t="n"/>
      <c r="H132" s="61" t="n"/>
      <c r="I132" s="62" t="n"/>
      <c r="J132" s="61" t="n"/>
    </row>
    <row r="133" ht="15" customHeight="1" s="52">
      <c r="A133" s="56" t="n"/>
      <c r="B133" s="74" t="n"/>
      <c r="C133" s="58" t="n"/>
      <c r="D133" s="56" t="n"/>
      <c r="E133" s="56" t="n"/>
      <c r="F133" s="56" t="n"/>
      <c r="G133" s="56" t="n"/>
      <c r="H133" s="56" t="n"/>
      <c r="I133" s="57" t="n"/>
      <c r="J133" s="56" t="n"/>
    </row>
    <row r="134" ht="15" customHeight="1" s="52">
      <c r="A134" s="61" t="n"/>
      <c r="B134" s="75" t="n"/>
      <c r="C134" s="63" t="n"/>
      <c r="D134" s="61" t="n"/>
      <c r="E134" s="61" t="n"/>
      <c r="F134" s="61" t="n"/>
      <c r="G134" s="61" t="n"/>
      <c r="H134" s="61" t="n"/>
      <c r="I134" s="62" t="n"/>
      <c r="J134" s="61" t="n"/>
    </row>
    <row r="135" ht="15" customHeight="1" s="52">
      <c r="A135" s="56" t="n"/>
      <c r="B135" s="74" t="n"/>
      <c r="C135" s="58" t="n"/>
      <c r="D135" s="56" t="n"/>
      <c r="E135" s="56" t="n"/>
      <c r="F135" s="56" t="n"/>
      <c r="G135" s="56" t="n"/>
      <c r="H135" s="56" t="n"/>
      <c r="I135" s="57" t="n"/>
      <c r="J135" s="56" t="n"/>
    </row>
    <row r="136" ht="15" customHeight="1" s="52">
      <c r="A136" s="61" t="n"/>
      <c r="B136" s="75" t="n"/>
      <c r="C136" s="63" t="n"/>
      <c r="D136" s="61" t="n"/>
      <c r="E136" s="61" t="n"/>
      <c r="F136" s="61" t="n"/>
      <c r="G136" s="61" t="n"/>
      <c r="H136" s="61" t="n"/>
      <c r="I136" s="62" t="n"/>
      <c r="J136" s="61" t="n"/>
    </row>
    <row r="137" ht="15" customHeight="1" s="52">
      <c r="A137" s="56" t="n"/>
      <c r="B137" s="74" t="n"/>
      <c r="C137" s="58" t="n"/>
      <c r="D137" s="56" t="n"/>
      <c r="E137" s="56" t="n"/>
      <c r="F137" s="56" t="n"/>
      <c r="G137" s="56" t="n"/>
      <c r="H137" s="56" t="n"/>
      <c r="I137" s="57" t="n"/>
      <c r="J137" s="56" t="n"/>
    </row>
    <row r="138" ht="15" customHeight="1" s="52">
      <c r="A138" s="61" t="n"/>
      <c r="B138" s="75" t="n"/>
      <c r="C138" s="63" t="n"/>
      <c r="D138" s="61" t="n"/>
      <c r="E138" s="61" t="n"/>
      <c r="F138" s="61" t="n"/>
      <c r="G138" s="61" t="n"/>
      <c r="H138" s="61" t="n"/>
      <c r="I138" s="62" t="n"/>
      <c r="J138" s="61" t="n"/>
    </row>
    <row r="139" ht="15" customHeight="1" s="52">
      <c r="A139" s="56" t="n"/>
      <c r="B139" s="74" t="n"/>
      <c r="C139" s="58" t="n"/>
      <c r="D139" s="56" t="n"/>
      <c r="E139" s="56" t="n"/>
      <c r="F139" s="56" t="n"/>
      <c r="G139" s="56" t="n"/>
      <c r="H139" s="56" t="n"/>
      <c r="I139" s="57" t="n"/>
      <c r="J139" s="56" t="n"/>
    </row>
    <row r="140" ht="15" customHeight="1" s="52">
      <c r="A140" s="61" t="n"/>
      <c r="B140" s="75" t="n"/>
      <c r="C140" s="63" t="n"/>
      <c r="D140" s="61" t="n"/>
      <c r="E140" s="61" t="n"/>
      <c r="F140" s="61" t="n"/>
      <c r="G140" s="61" t="n"/>
      <c r="H140" s="61" t="n"/>
      <c r="I140" s="62" t="n"/>
      <c r="J140" s="61" t="n"/>
    </row>
    <row r="141" ht="15" customHeight="1" s="52">
      <c r="A141" s="56" t="n"/>
      <c r="B141" s="74" t="n"/>
      <c r="C141" s="58" t="n"/>
      <c r="D141" s="56" t="n"/>
      <c r="E141" s="56" t="n"/>
      <c r="F141" s="56" t="n"/>
      <c r="G141" s="56" t="n"/>
      <c r="H141" s="56" t="n"/>
      <c r="I141" s="57" t="n"/>
      <c r="J141" s="56" t="n"/>
    </row>
    <row r="142" ht="15" customHeight="1" s="52">
      <c r="A142" s="61" t="n"/>
      <c r="B142" s="75" t="n"/>
      <c r="C142" s="63" t="n"/>
      <c r="D142" s="61" t="n"/>
      <c r="E142" s="61" t="n"/>
      <c r="F142" s="61" t="n"/>
      <c r="G142" s="61" t="n"/>
      <c r="H142" s="61" t="n"/>
      <c r="I142" s="62" t="n"/>
      <c r="J142" s="61" t="n"/>
    </row>
    <row r="143" ht="15" customHeight="1" s="52">
      <c r="A143" s="56" t="n"/>
      <c r="B143" s="74" t="n"/>
      <c r="C143" s="58" t="n"/>
      <c r="D143" s="56" t="n"/>
      <c r="E143" s="56" t="n"/>
      <c r="F143" s="56" t="n"/>
      <c r="G143" s="56" t="n"/>
      <c r="H143" s="56" t="n"/>
      <c r="I143" s="57" t="n"/>
      <c r="J143" s="56" t="n"/>
    </row>
    <row r="144" ht="15" customHeight="1" s="52">
      <c r="A144" s="61" t="n"/>
      <c r="B144" s="75" t="n"/>
      <c r="C144" s="63" t="n"/>
      <c r="D144" s="61" t="n"/>
      <c r="E144" s="61" t="n"/>
      <c r="F144" s="61" t="n"/>
      <c r="G144" s="61" t="n"/>
      <c r="H144" s="61" t="n"/>
      <c r="I144" s="62" t="n"/>
      <c r="J144" s="61" t="n"/>
    </row>
    <row r="145" ht="15" customHeight="1" s="52">
      <c r="A145" s="56" t="n"/>
      <c r="B145" s="74" t="n"/>
      <c r="C145" s="58" t="n"/>
      <c r="D145" s="56" t="n"/>
      <c r="E145" s="56" t="n"/>
      <c r="F145" s="56" t="n"/>
      <c r="G145" s="56" t="n"/>
      <c r="H145" s="56" t="n"/>
      <c r="I145" s="57" t="n"/>
      <c r="J145" s="56" t="n"/>
    </row>
    <row r="146" ht="15" customHeight="1" s="52">
      <c r="A146" s="61" t="n"/>
      <c r="B146" s="75" t="n"/>
      <c r="C146" s="63" t="n"/>
      <c r="D146" s="61" t="n"/>
      <c r="E146" s="61" t="n"/>
      <c r="F146" s="61" t="n"/>
      <c r="G146" s="61" t="n"/>
      <c r="H146" s="61" t="n"/>
      <c r="I146" s="62" t="n"/>
      <c r="J146" s="61" t="n"/>
    </row>
    <row r="147" ht="15" customHeight="1" s="52">
      <c r="A147" s="56" t="n"/>
      <c r="B147" s="74" t="n"/>
      <c r="C147" s="58" t="n"/>
      <c r="D147" s="56" t="n"/>
      <c r="E147" s="56" t="n"/>
      <c r="F147" s="56" t="n"/>
      <c r="G147" s="56" t="n"/>
      <c r="H147" s="56" t="n"/>
      <c r="I147" s="57" t="n"/>
      <c r="J147" s="56" t="n"/>
    </row>
    <row r="148" ht="15" customHeight="1" s="52">
      <c r="A148" s="61" t="n"/>
      <c r="B148" s="75" t="n"/>
      <c r="C148" s="63" t="n"/>
      <c r="D148" s="61" t="n"/>
      <c r="E148" s="61" t="n"/>
      <c r="F148" s="61" t="n"/>
      <c r="G148" s="61" t="n"/>
      <c r="H148" s="61" t="n"/>
      <c r="I148" s="62" t="n"/>
      <c r="J148" s="61" t="n"/>
    </row>
    <row r="149" ht="15" customHeight="1" s="52">
      <c r="A149" s="56" t="n"/>
      <c r="B149" s="74" t="n"/>
      <c r="C149" s="58" t="n"/>
      <c r="D149" s="56" t="n"/>
      <c r="E149" s="56" t="n"/>
      <c r="F149" s="56" t="n"/>
      <c r="G149" s="56" t="n"/>
      <c r="H149" s="56" t="n"/>
      <c r="I149" s="57" t="n"/>
      <c r="J149" s="56" t="n"/>
    </row>
    <row r="150" ht="15" customHeight="1" s="52">
      <c r="A150" s="61" t="n"/>
      <c r="B150" s="75" t="n"/>
      <c r="C150" s="63" t="n"/>
      <c r="D150" s="61" t="n"/>
      <c r="E150" s="61" t="n"/>
      <c r="F150" s="61" t="n"/>
      <c r="G150" s="61" t="n"/>
      <c r="H150" s="61" t="n"/>
      <c r="I150" s="62" t="n"/>
      <c r="J150" s="61" t="n"/>
    </row>
    <row r="151" ht="15" customHeight="1" s="52">
      <c r="A151" s="56" t="n"/>
      <c r="B151" s="74" t="n"/>
      <c r="C151" s="58" t="n"/>
      <c r="D151" s="56" t="n"/>
      <c r="E151" s="56" t="n"/>
      <c r="F151" s="56" t="n"/>
      <c r="G151" s="56" t="n"/>
      <c r="H151" s="56" t="n"/>
      <c r="I151" s="57" t="n"/>
      <c r="J151" s="56" t="n"/>
    </row>
    <row r="152" ht="15" customHeight="1" s="52">
      <c r="A152" s="61" t="n"/>
      <c r="B152" s="75" t="n"/>
      <c r="C152" s="63" t="n"/>
      <c r="D152" s="61" t="n"/>
      <c r="E152" s="61" t="n"/>
      <c r="F152" s="61" t="n"/>
      <c r="G152" s="61" t="n"/>
      <c r="H152" s="61" t="n"/>
      <c r="I152" s="62" t="n"/>
      <c r="J152" s="61" t="n"/>
    </row>
    <row r="153" ht="15" customHeight="1" s="52">
      <c r="A153" s="56" t="n"/>
      <c r="B153" s="74" t="n"/>
      <c r="C153" s="58" t="n"/>
      <c r="D153" s="56" t="n"/>
      <c r="E153" s="56" t="n"/>
      <c r="F153" s="56" t="n"/>
      <c r="G153" s="56" t="n"/>
      <c r="H153" s="56" t="n"/>
      <c r="I153" s="57" t="n"/>
      <c r="J153" s="56" t="n"/>
    </row>
    <row r="154" ht="15" customHeight="1" s="52">
      <c r="A154" s="61" t="n"/>
      <c r="B154" s="75" t="n"/>
      <c r="C154" s="63" t="n"/>
      <c r="D154" s="61" t="n"/>
      <c r="E154" s="61" t="n"/>
      <c r="F154" s="61" t="n"/>
      <c r="G154" s="61" t="n"/>
      <c r="H154" s="61" t="n"/>
      <c r="I154" s="62" t="n"/>
      <c r="J154" s="61" t="n"/>
    </row>
    <row r="155" ht="15" customHeight="1" s="52">
      <c r="A155" s="56" t="n"/>
      <c r="B155" s="74" t="n"/>
      <c r="C155" s="58" t="n"/>
      <c r="D155" s="56" t="n"/>
      <c r="E155" s="56" t="n"/>
      <c r="F155" s="56" t="n"/>
      <c r="G155" s="56" t="n"/>
      <c r="H155" s="56" t="n"/>
      <c r="I155" s="57" t="n"/>
      <c r="J155" s="56" t="n"/>
    </row>
    <row r="156" ht="15" customHeight="1" s="52">
      <c r="A156" s="61" t="n"/>
      <c r="B156" s="75" t="n"/>
      <c r="C156" s="63" t="n"/>
      <c r="D156" s="61" t="n"/>
      <c r="E156" s="61" t="n"/>
      <c r="F156" s="61" t="n"/>
      <c r="G156" s="61" t="n"/>
      <c r="H156" s="61" t="n"/>
      <c r="I156" s="62" t="n"/>
      <c r="J156" s="61" t="n"/>
    </row>
    <row r="157" ht="15" customHeight="1" s="52">
      <c r="A157" s="56" t="n"/>
      <c r="B157" s="74" t="n"/>
      <c r="C157" s="58" t="n"/>
      <c r="D157" s="56" t="n"/>
      <c r="E157" s="56" t="n"/>
      <c r="F157" s="56" t="n"/>
      <c r="G157" s="56" t="n"/>
      <c r="H157" s="56" t="n"/>
      <c r="I157" s="57" t="n"/>
      <c r="J157" s="56" t="n"/>
    </row>
    <row r="158" ht="15" customHeight="1" s="52">
      <c r="A158" s="61" t="n"/>
      <c r="B158" s="75" t="n"/>
      <c r="C158" s="63" t="n"/>
      <c r="D158" s="61" t="n"/>
      <c r="E158" s="61" t="n"/>
      <c r="F158" s="61" t="n"/>
      <c r="G158" s="61" t="n"/>
      <c r="H158" s="61" t="n"/>
      <c r="I158" s="62" t="n"/>
      <c r="J158" s="61" t="n"/>
    </row>
    <row r="159" ht="15" customHeight="1" s="52">
      <c r="A159" s="56" t="n"/>
      <c r="B159" s="74" t="n"/>
      <c r="C159" s="58" t="n"/>
      <c r="D159" s="56" t="n"/>
      <c r="E159" s="56" t="n"/>
      <c r="F159" s="56" t="n"/>
      <c r="G159" s="56" t="n"/>
      <c r="H159" s="56" t="n"/>
      <c r="I159" s="57" t="n"/>
      <c r="J159" s="56" t="n"/>
    </row>
    <row r="160" ht="15" customHeight="1" s="52">
      <c r="A160" s="61" t="n"/>
      <c r="B160" s="75" t="n"/>
      <c r="C160" s="63" t="n"/>
      <c r="D160" s="61" t="n"/>
      <c r="E160" s="61" t="n"/>
      <c r="F160" s="61" t="n"/>
      <c r="G160" s="61" t="n"/>
      <c r="H160" s="61" t="n"/>
      <c r="I160" s="62" t="n"/>
      <c r="J160" s="61" t="n"/>
    </row>
    <row r="161" ht="15" customHeight="1" s="52">
      <c r="A161" s="56" t="n"/>
      <c r="B161" s="74" t="n"/>
      <c r="C161" s="58" t="n"/>
      <c r="D161" s="56" t="n"/>
      <c r="E161" s="56" t="n"/>
      <c r="F161" s="56" t="n"/>
      <c r="G161" s="56" t="n"/>
      <c r="H161" s="56" t="n"/>
      <c r="I161" s="57" t="n"/>
      <c r="J161" s="56" t="n"/>
    </row>
    <row r="162" ht="15" customHeight="1" s="52">
      <c r="A162" s="61" t="n"/>
      <c r="B162" s="75" t="n"/>
      <c r="C162" s="63" t="n"/>
      <c r="D162" s="61" t="n"/>
      <c r="E162" s="61" t="n"/>
      <c r="F162" s="61" t="n"/>
      <c r="G162" s="61" t="n"/>
      <c r="H162" s="61" t="n"/>
      <c r="I162" s="62" t="n"/>
      <c r="J162" s="61" t="n"/>
    </row>
    <row r="163" ht="15" customHeight="1" s="52">
      <c r="A163" s="56" t="n"/>
      <c r="B163" s="74" t="n"/>
      <c r="C163" s="58" t="n"/>
      <c r="D163" s="56" t="n"/>
      <c r="E163" s="56" t="n"/>
      <c r="F163" s="56" t="n"/>
      <c r="G163" s="56" t="n"/>
      <c r="H163" s="56" t="n"/>
      <c r="I163" s="57" t="n"/>
      <c r="J163" s="56" t="n"/>
    </row>
    <row r="164" ht="15" customHeight="1" s="52">
      <c r="A164" s="61" t="n"/>
      <c r="B164" s="75" t="n"/>
      <c r="C164" s="63" t="n"/>
      <c r="D164" s="61" t="n"/>
      <c r="E164" s="61" t="n"/>
      <c r="F164" s="61" t="n"/>
      <c r="G164" s="61" t="n"/>
      <c r="H164" s="61" t="n"/>
      <c r="I164" s="62" t="n"/>
      <c r="J164" s="61" t="n"/>
    </row>
    <row r="165" ht="15" customHeight="1" s="52">
      <c r="A165" s="56" t="n"/>
      <c r="B165" s="74" t="n"/>
      <c r="C165" s="58" t="n"/>
      <c r="D165" s="56" t="n"/>
      <c r="E165" s="56" t="n"/>
      <c r="F165" s="56" t="n"/>
      <c r="G165" s="56" t="n"/>
      <c r="H165" s="56" t="n"/>
      <c r="I165" s="57" t="n"/>
      <c r="J165" s="56" t="n"/>
    </row>
    <row r="166" ht="15" customHeight="1" s="52">
      <c r="A166" s="61" t="n"/>
      <c r="B166" s="75" t="n"/>
      <c r="C166" s="63" t="n"/>
      <c r="D166" s="61" t="n"/>
      <c r="E166" s="61" t="n"/>
      <c r="F166" s="61" t="n"/>
      <c r="G166" s="61" t="n"/>
      <c r="H166" s="61" t="n"/>
      <c r="I166" s="62" t="n"/>
      <c r="J166" s="61" t="n"/>
    </row>
    <row r="167" ht="15" customHeight="1" s="52">
      <c r="A167" s="56" t="n"/>
      <c r="B167" s="74" t="n"/>
      <c r="C167" s="58" t="n"/>
      <c r="D167" s="56" t="n"/>
      <c r="E167" s="56" t="n"/>
      <c r="F167" s="56" t="n"/>
      <c r="G167" s="56" t="n"/>
      <c r="H167" s="56" t="n"/>
      <c r="I167" s="57" t="n"/>
      <c r="J167" s="56" t="n"/>
    </row>
    <row r="168" ht="15" customHeight="1" s="52">
      <c r="A168" s="61" t="n"/>
      <c r="B168" s="75" t="n"/>
      <c r="C168" s="63" t="n"/>
      <c r="D168" s="61" t="n"/>
      <c r="E168" s="61" t="n"/>
      <c r="F168" s="61" t="n"/>
      <c r="G168" s="61" t="n"/>
      <c r="H168" s="61" t="n"/>
      <c r="I168" s="62" t="n"/>
      <c r="J168" s="61" t="n"/>
    </row>
    <row r="169" ht="15" customHeight="1" s="52">
      <c r="A169" s="56" t="n"/>
      <c r="B169" s="74" t="n"/>
      <c r="C169" s="58" t="n"/>
      <c r="D169" s="56" t="n"/>
      <c r="E169" s="56" t="n"/>
      <c r="F169" s="56" t="n"/>
      <c r="G169" s="56" t="n"/>
      <c r="H169" s="56" t="n"/>
      <c r="I169" s="57" t="n"/>
      <c r="J169" s="56" t="n"/>
    </row>
    <row r="170" ht="15" customHeight="1" s="52">
      <c r="A170" s="61" t="n"/>
      <c r="B170" s="75" t="n"/>
      <c r="C170" s="63" t="n"/>
      <c r="D170" s="61" t="n"/>
      <c r="E170" s="61" t="n"/>
      <c r="F170" s="61" t="n"/>
      <c r="G170" s="61" t="n"/>
      <c r="H170" s="61" t="n"/>
      <c r="I170" s="62" t="n"/>
      <c r="J170" s="61" t="n"/>
    </row>
    <row r="171" ht="15" customHeight="1" s="52">
      <c r="A171" s="56" t="n"/>
      <c r="B171" s="74" t="n"/>
      <c r="C171" s="58" t="n"/>
      <c r="D171" s="56" t="n"/>
      <c r="E171" s="56" t="n"/>
      <c r="F171" s="56" t="n"/>
      <c r="G171" s="56" t="n"/>
      <c r="H171" s="56" t="n"/>
      <c r="I171" s="57" t="n"/>
      <c r="J171" s="56" t="n"/>
    </row>
    <row r="172" ht="15" customHeight="1" s="52">
      <c r="A172" s="61" t="n"/>
      <c r="B172" s="75" t="n"/>
      <c r="C172" s="63" t="n"/>
      <c r="D172" s="61" t="n"/>
      <c r="E172" s="61" t="n"/>
      <c r="F172" s="61" t="n"/>
      <c r="G172" s="61" t="n"/>
      <c r="H172" s="61" t="n"/>
      <c r="I172" s="62" t="n"/>
      <c r="J172" s="61" t="n"/>
    </row>
    <row r="173" ht="15" customHeight="1" s="52">
      <c r="A173" s="56" t="n"/>
      <c r="B173" s="74" t="n"/>
      <c r="C173" s="58" t="n"/>
      <c r="D173" s="56" t="n"/>
      <c r="E173" s="56" t="n"/>
      <c r="F173" s="56" t="n"/>
      <c r="G173" s="56" t="n"/>
      <c r="H173" s="56" t="n"/>
      <c r="I173" s="57" t="n"/>
      <c r="J173" s="56" t="n"/>
    </row>
    <row r="174" ht="15" customHeight="1" s="52">
      <c r="A174" s="61" t="n"/>
      <c r="B174" s="75" t="n"/>
      <c r="C174" s="63" t="n"/>
      <c r="D174" s="61" t="n"/>
      <c r="E174" s="61" t="n"/>
      <c r="F174" s="61" t="n"/>
      <c r="G174" s="61" t="n"/>
      <c r="H174" s="61" t="n"/>
      <c r="I174" s="62" t="n"/>
      <c r="J174" s="61" t="n"/>
    </row>
    <row r="175" ht="15" customHeight="1" s="52">
      <c r="A175" s="56" t="n"/>
      <c r="B175" s="74" t="n"/>
      <c r="C175" s="58" t="n"/>
      <c r="D175" s="56" t="n"/>
      <c r="E175" s="56" t="n"/>
      <c r="F175" s="56" t="n"/>
      <c r="G175" s="56" t="n"/>
      <c r="H175" s="56" t="n"/>
      <c r="I175" s="57" t="n"/>
      <c r="J175" s="56" t="n"/>
    </row>
    <row r="176" ht="15" customHeight="1" s="52">
      <c r="A176" s="61" t="n"/>
      <c r="B176" s="75" t="n"/>
      <c r="C176" s="63" t="n"/>
      <c r="D176" s="61" t="n"/>
      <c r="E176" s="61" t="n"/>
      <c r="F176" s="61" t="n"/>
      <c r="G176" s="61" t="n"/>
      <c r="H176" s="61" t="n"/>
      <c r="I176" s="62" t="n"/>
      <c r="J176" s="61" t="n"/>
    </row>
    <row r="177" ht="15" customHeight="1" s="52">
      <c r="A177" s="56" t="n"/>
      <c r="B177" s="74" t="n"/>
      <c r="C177" s="58" t="n"/>
      <c r="D177" s="56" t="n"/>
      <c r="E177" s="56" t="n"/>
      <c r="F177" s="56" t="n"/>
      <c r="G177" s="56" t="n"/>
      <c r="H177" s="56" t="n"/>
      <c r="I177" s="57" t="n"/>
      <c r="J177" s="56" t="n"/>
    </row>
    <row r="178" ht="15" customHeight="1" s="52">
      <c r="A178" s="61" t="n"/>
      <c r="B178" s="75" t="n"/>
      <c r="C178" s="63" t="n"/>
      <c r="D178" s="61" t="n"/>
      <c r="E178" s="61" t="n"/>
      <c r="F178" s="61" t="n"/>
      <c r="G178" s="61" t="n"/>
      <c r="H178" s="61" t="n"/>
      <c r="I178" s="62" t="n"/>
      <c r="J178" s="61" t="n"/>
    </row>
    <row r="179" ht="15" customHeight="1" s="52">
      <c r="A179" s="56" t="n"/>
      <c r="B179" s="74" t="n"/>
      <c r="C179" s="58" t="n"/>
      <c r="D179" s="56" t="n"/>
      <c r="E179" s="56" t="n"/>
      <c r="F179" s="56" t="n"/>
      <c r="G179" s="56" t="n"/>
      <c r="H179" s="56" t="n"/>
      <c r="I179" s="57" t="n"/>
      <c r="J179" s="56" t="n"/>
    </row>
    <row r="180" ht="15" customHeight="1" s="52">
      <c r="A180" s="61" t="n"/>
      <c r="B180" s="75" t="n"/>
      <c r="C180" s="63" t="n"/>
      <c r="D180" s="61" t="n"/>
      <c r="E180" s="61" t="n"/>
      <c r="F180" s="61" t="n"/>
      <c r="G180" s="61" t="n"/>
      <c r="H180" s="61" t="n"/>
      <c r="I180" s="62" t="n"/>
      <c r="J180" s="61" t="n"/>
    </row>
    <row r="181" ht="15" customHeight="1" s="52">
      <c r="A181" s="56" t="n"/>
      <c r="B181" s="74" t="n"/>
      <c r="C181" s="58" t="n"/>
      <c r="D181" s="56" t="n"/>
      <c r="E181" s="56" t="n"/>
      <c r="F181" s="56" t="n"/>
      <c r="G181" s="56" t="n"/>
      <c r="H181" s="56" t="n"/>
      <c r="I181" s="57" t="n"/>
      <c r="J181" s="56" t="n"/>
    </row>
    <row r="182" ht="15" customHeight="1" s="52">
      <c r="A182" s="61" t="n"/>
      <c r="B182" s="75" t="n"/>
      <c r="C182" s="63" t="n"/>
      <c r="D182" s="61" t="n"/>
      <c r="E182" s="61" t="n"/>
      <c r="F182" s="61" t="n"/>
      <c r="G182" s="61" t="n"/>
      <c r="H182" s="61" t="n"/>
      <c r="I182" s="62" t="n"/>
      <c r="J182" s="61" t="n"/>
    </row>
    <row r="183" ht="15" customHeight="1" s="52">
      <c r="A183" s="56" t="n"/>
      <c r="B183" s="74" t="n"/>
      <c r="C183" s="58" t="n"/>
      <c r="D183" s="56" t="n"/>
      <c r="E183" s="56" t="n"/>
      <c r="F183" s="56" t="n"/>
      <c r="G183" s="56" t="n"/>
      <c r="H183" s="56" t="n"/>
      <c r="I183" s="57" t="n"/>
      <c r="J183" s="56" t="n"/>
    </row>
    <row r="184" ht="15" customHeight="1" s="52">
      <c r="A184" s="61" t="n"/>
      <c r="B184" s="75" t="n"/>
      <c r="C184" s="63" t="n"/>
      <c r="D184" s="61" t="n"/>
      <c r="E184" s="61" t="n"/>
      <c r="F184" s="61" t="n"/>
      <c r="G184" s="61" t="n"/>
      <c r="H184" s="61" t="n"/>
      <c r="I184" s="62" t="n"/>
      <c r="J184" s="61" t="n"/>
    </row>
    <row r="185" ht="15" customHeight="1" s="52">
      <c r="A185" s="56" t="n"/>
      <c r="B185" s="74" t="n"/>
      <c r="C185" s="58" t="n"/>
      <c r="D185" s="56" t="n"/>
      <c r="E185" s="56" t="n"/>
      <c r="F185" s="56" t="n"/>
      <c r="G185" s="56" t="n"/>
      <c r="H185" s="56" t="n"/>
      <c r="I185" s="57" t="n"/>
      <c r="J185" s="56" t="n"/>
    </row>
    <row r="186" ht="15" customHeight="1" s="52">
      <c r="A186" s="61" t="n"/>
      <c r="B186" s="75" t="n"/>
      <c r="C186" s="63" t="n"/>
      <c r="D186" s="61" t="n"/>
      <c r="E186" s="61" t="n"/>
      <c r="F186" s="61" t="n"/>
      <c r="G186" s="61" t="n"/>
      <c r="H186" s="61" t="n"/>
      <c r="I186" s="62" t="n"/>
      <c r="J186" s="61" t="n"/>
    </row>
    <row r="187" ht="15" customHeight="1" s="52">
      <c r="A187" s="56" t="n"/>
      <c r="B187" s="74" t="n"/>
      <c r="C187" s="58" t="n"/>
      <c r="D187" s="56" t="n"/>
      <c r="E187" s="56" t="n"/>
      <c r="F187" s="56" t="n"/>
      <c r="G187" s="56" t="n"/>
      <c r="H187" s="56" t="n"/>
      <c r="I187" s="57" t="n"/>
      <c r="J187" s="56" t="n"/>
    </row>
    <row r="188" ht="15" customHeight="1" s="52">
      <c r="A188" s="61" t="n"/>
      <c r="B188" s="75" t="n"/>
      <c r="C188" s="63" t="n"/>
      <c r="D188" s="61" t="n"/>
      <c r="E188" s="61" t="n"/>
      <c r="F188" s="61" t="n"/>
      <c r="G188" s="61" t="n"/>
      <c r="H188" s="61" t="n"/>
      <c r="I188" s="62" t="n"/>
      <c r="J188" s="61" t="n"/>
    </row>
    <row r="189" ht="15" customHeight="1" s="52">
      <c r="A189" s="56" t="n"/>
      <c r="B189" s="74" t="n"/>
      <c r="C189" s="58" t="n"/>
      <c r="D189" s="56" t="n"/>
      <c r="E189" s="56" t="n"/>
      <c r="F189" s="56" t="n"/>
      <c r="G189" s="56" t="n"/>
      <c r="H189" s="56" t="n"/>
      <c r="I189" s="57" t="n"/>
      <c r="J189" s="56" t="n"/>
    </row>
    <row r="190" ht="15" customHeight="1" s="52">
      <c r="A190" s="61" t="n"/>
      <c r="B190" s="75" t="n"/>
      <c r="C190" s="63" t="n"/>
      <c r="D190" s="61" t="n"/>
      <c r="E190" s="61" t="n"/>
      <c r="F190" s="61" t="n"/>
      <c r="G190" s="61" t="n"/>
      <c r="H190" s="61" t="n"/>
      <c r="I190" s="62" t="n"/>
      <c r="J190" s="61" t="n"/>
    </row>
    <row r="191" ht="15" customHeight="1" s="52">
      <c r="A191" s="56" t="n"/>
      <c r="B191" s="74" t="n"/>
      <c r="C191" s="58" t="n"/>
      <c r="D191" s="56" t="n"/>
      <c r="E191" s="56" t="n"/>
      <c r="F191" s="56" t="n"/>
      <c r="G191" s="56" t="n"/>
      <c r="H191" s="56" t="n"/>
      <c r="I191" s="57" t="n"/>
      <c r="J191" s="56" t="n"/>
    </row>
    <row r="192" ht="15" customHeight="1" s="52">
      <c r="A192" s="61" t="n"/>
      <c r="B192" s="75" t="n"/>
      <c r="C192" s="63" t="n"/>
      <c r="D192" s="61" t="n"/>
      <c r="E192" s="61" t="n"/>
      <c r="F192" s="61" t="n"/>
      <c r="G192" s="61" t="n"/>
      <c r="H192" s="61" t="n"/>
      <c r="I192" s="62" t="n"/>
      <c r="J192" s="61" t="n"/>
    </row>
    <row r="193" ht="15" customHeight="1" s="52">
      <c r="A193" s="56" t="n"/>
      <c r="B193" s="74" t="n"/>
      <c r="C193" s="58" t="n"/>
      <c r="D193" s="56" t="n"/>
      <c r="E193" s="56" t="n"/>
      <c r="F193" s="56" t="n"/>
      <c r="G193" s="56" t="n"/>
      <c r="H193" s="56" t="n"/>
      <c r="I193" s="57" t="n"/>
      <c r="J193" s="56" t="n"/>
    </row>
    <row r="194" ht="15" customHeight="1" s="52">
      <c r="A194" s="61" t="n"/>
      <c r="B194" s="75" t="n"/>
      <c r="C194" s="63" t="n"/>
      <c r="D194" s="61" t="n"/>
      <c r="E194" s="61" t="n"/>
      <c r="F194" s="61" t="n"/>
      <c r="G194" s="61" t="n"/>
      <c r="H194" s="61" t="n"/>
      <c r="I194" s="62" t="n"/>
      <c r="J194" s="61" t="n"/>
    </row>
    <row r="195" ht="15" customHeight="1" s="52">
      <c r="A195" s="56" t="n"/>
      <c r="B195" s="74" t="n"/>
      <c r="C195" s="58" t="n"/>
      <c r="D195" s="56" t="n"/>
      <c r="E195" s="56" t="n"/>
      <c r="F195" s="56" t="n"/>
      <c r="G195" s="56" t="n"/>
      <c r="H195" s="56" t="n"/>
      <c r="I195" s="57" t="n"/>
      <c r="J195" s="56" t="n"/>
    </row>
    <row r="196" ht="15" customHeight="1" s="52">
      <c r="A196" s="61" t="n"/>
      <c r="B196" s="75" t="n"/>
      <c r="C196" s="63" t="n"/>
      <c r="D196" s="61" t="n"/>
      <c r="E196" s="61" t="n"/>
      <c r="F196" s="61" t="n"/>
      <c r="G196" s="61" t="n"/>
      <c r="H196" s="61" t="n"/>
      <c r="I196" s="62" t="n"/>
      <c r="J196" s="61" t="n"/>
    </row>
    <row r="197" ht="15" customHeight="1" s="52">
      <c r="A197" s="56" t="n"/>
      <c r="B197" s="74" t="n"/>
      <c r="C197" s="58" t="n"/>
      <c r="D197" s="56" t="n"/>
      <c r="E197" s="56" t="n"/>
      <c r="F197" s="56" t="n"/>
      <c r="G197" s="56" t="n"/>
      <c r="H197" s="56" t="n"/>
      <c r="I197" s="57" t="n"/>
      <c r="J197" s="56" t="n"/>
    </row>
    <row r="198" ht="15" customHeight="1" s="52">
      <c r="A198" s="61" t="n"/>
      <c r="B198" s="75" t="n"/>
      <c r="C198" s="63" t="n"/>
      <c r="D198" s="61" t="n"/>
      <c r="E198" s="61" t="n"/>
      <c r="F198" s="61" t="n"/>
      <c r="G198" s="61" t="n"/>
      <c r="H198" s="61" t="n"/>
      <c r="I198" s="62" t="n"/>
      <c r="J198" s="61" t="n"/>
    </row>
    <row r="199" ht="15" customHeight="1" s="52">
      <c r="A199" s="56" t="n"/>
      <c r="B199" s="74" t="n"/>
      <c r="C199" s="58" t="n"/>
      <c r="D199" s="56" t="n"/>
      <c r="E199" s="56" t="n"/>
      <c r="F199" s="56" t="n"/>
      <c r="G199" s="56" t="n"/>
      <c r="H199" s="56" t="n"/>
      <c r="I199" s="57" t="n"/>
      <c r="J199" s="56" t="n"/>
    </row>
    <row r="200" ht="15" customHeight="1" s="52">
      <c r="A200" s="61" t="n"/>
      <c r="B200" s="75" t="n"/>
      <c r="C200" s="63" t="n"/>
      <c r="D200" s="61" t="n"/>
      <c r="E200" s="61" t="n"/>
      <c r="F200" s="61" t="n"/>
      <c r="G200" s="61" t="n"/>
      <c r="H200" s="61" t="n"/>
      <c r="I200" s="62" t="n"/>
      <c r="J200" s="61" t="n"/>
    </row>
    <row r="201" ht="15" customHeight="1" s="52">
      <c r="A201" s="56" t="n"/>
      <c r="B201" s="74" t="n"/>
      <c r="C201" s="58" t="n"/>
      <c r="D201" s="56" t="n"/>
      <c r="E201" s="56" t="n"/>
      <c r="F201" s="56" t="n"/>
      <c r="G201" s="56" t="n"/>
      <c r="H201" s="56" t="n"/>
      <c r="I201" s="57" t="n"/>
      <c r="J201" s="56" t="n"/>
    </row>
    <row r="202" ht="15" customHeight="1" s="52">
      <c r="A202" s="61" t="n"/>
      <c r="B202" s="75" t="n"/>
      <c r="C202" s="63" t="n"/>
      <c r="D202" s="61" t="n"/>
      <c r="E202" s="61" t="n"/>
      <c r="F202" s="61" t="n"/>
      <c r="G202" s="61" t="n"/>
      <c r="H202" s="61" t="n"/>
      <c r="I202" s="62" t="n"/>
      <c r="J202" s="61" t="n"/>
    </row>
    <row r="203" ht="15" customHeight="1" s="52">
      <c r="A203" s="56" t="n"/>
      <c r="B203" s="74" t="n"/>
      <c r="C203" s="58" t="n"/>
      <c r="D203" s="56" t="n"/>
      <c r="E203" s="56" t="n"/>
      <c r="F203" s="56" t="n"/>
      <c r="G203" s="56" t="n"/>
      <c r="H203" s="56" t="n"/>
      <c r="I203" s="57" t="n"/>
      <c r="J203" s="56" t="n"/>
    </row>
    <row r="204" ht="15" customHeight="1" s="52">
      <c r="A204" s="61" t="n"/>
      <c r="B204" s="75" t="n"/>
      <c r="C204" s="63" t="n"/>
      <c r="D204" s="61" t="n"/>
      <c r="E204" s="61" t="n"/>
      <c r="F204" s="61" t="n"/>
      <c r="G204" s="61" t="n"/>
      <c r="H204" s="61" t="n"/>
      <c r="I204" s="62" t="n"/>
      <c r="J204" s="61" t="n"/>
    </row>
    <row r="205" ht="15" customHeight="1" s="52">
      <c r="A205" s="56" t="n"/>
      <c r="B205" s="74" t="n"/>
      <c r="C205" s="58" t="n"/>
      <c r="D205" s="56" t="n"/>
      <c r="E205" s="56" t="n"/>
      <c r="F205" s="56" t="n"/>
      <c r="G205" s="56" t="n"/>
      <c r="H205" s="56" t="n"/>
      <c r="I205" s="57" t="n"/>
      <c r="J205" s="56" t="n"/>
    </row>
    <row r="206" ht="15" customHeight="1" s="52">
      <c r="A206" s="61" t="n"/>
      <c r="B206" s="75" t="n"/>
      <c r="C206" s="63" t="n"/>
      <c r="D206" s="61" t="n"/>
      <c r="E206" s="61" t="n"/>
      <c r="F206" s="61" t="n"/>
      <c r="G206" s="61" t="n"/>
      <c r="H206" s="61" t="n"/>
      <c r="I206" s="62" t="n"/>
      <c r="J206" s="61" t="n"/>
    </row>
    <row r="207" ht="15" customHeight="1" s="52">
      <c r="A207" s="56" t="n"/>
      <c r="B207" s="74" t="n"/>
      <c r="C207" s="58" t="n"/>
      <c r="D207" s="56" t="n"/>
      <c r="E207" s="56" t="n"/>
      <c r="F207" s="56" t="n"/>
      <c r="G207" s="56" t="n"/>
      <c r="H207" s="56" t="n"/>
      <c r="I207" s="57" t="n"/>
      <c r="J207" s="56" t="n"/>
    </row>
    <row r="208" ht="15" customHeight="1" s="52">
      <c r="A208" s="61" t="n"/>
      <c r="B208" s="75" t="n"/>
      <c r="C208" s="63" t="n"/>
      <c r="D208" s="61" t="n"/>
      <c r="E208" s="61" t="n"/>
      <c r="F208" s="61" t="n"/>
      <c r="G208" s="61" t="n"/>
      <c r="H208" s="61" t="n"/>
      <c r="I208" s="62" t="n"/>
      <c r="J208" s="61" t="n"/>
    </row>
    <row r="209" ht="15" customHeight="1" s="52">
      <c r="A209" s="56" t="n"/>
      <c r="B209" s="74" t="n"/>
      <c r="C209" s="58" t="n"/>
      <c r="D209" s="56" t="n"/>
      <c r="E209" s="56" t="n"/>
      <c r="F209" s="56" t="n"/>
      <c r="G209" s="56" t="n"/>
      <c r="H209" s="56" t="n"/>
      <c r="I209" s="57" t="n"/>
      <c r="J209" s="56" t="n"/>
    </row>
    <row r="210" ht="15" customHeight="1" s="52">
      <c r="A210" s="61" t="n"/>
      <c r="B210" s="75" t="n"/>
      <c r="C210" s="63" t="n"/>
      <c r="D210" s="61" t="n"/>
      <c r="E210" s="61" t="n"/>
      <c r="F210" s="61" t="n"/>
      <c r="G210" s="61" t="n"/>
      <c r="H210" s="61" t="n"/>
      <c r="I210" s="62" t="n"/>
      <c r="J210" s="61" t="n"/>
    </row>
    <row r="211" ht="15" customHeight="1" s="52">
      <c r="A211" s="56" t="n"/>
      <c r="B211" s="74" t="n"/>
      <c r="C211" s="58" t="n"/>
      <c r="D211" s="56" t="n"/>
      <c r="E211" s="56" t="n"/>
      <c r="F211" s="56" t="n"/>
      <c r="G211" s="56" t="n"/>
      <c r="H211" s="56" t="n"/>
      <c r="I211" s="57" t="n"/>
      <c r="J211" s="56" t="n"/>
    </row>
    <row r="212" ht="15" customHeight="1" s="52">
      <c r="A212" s="61" t="n"/>
      <c r="B212" s="75" t="n"/>
      <c r="C212" s="63" t="n"/>
      <c r="D212" s="61" t="n"/>
      <c r="E212" s="61" t="n"/>
      <c r="F212" s="61" t="n"/>
      <c r="G212" s="61" t="n"/>
      <c r="H212" s="61" t="n"/>
      <c r="I212" s="62" t="n"/>
      <c r="J212" s="61" t="n"/>
    </row>
    <row r="213" ht="15" customHeight="1" s="52">
      <c r="A213" s="56" t="n"/>
      <c r="B213" s="74" t="n"/>
      <c r="C213" s="58" t="n"/>
      <c r="D213" s="56" t="n"/>
      <c r="E213" s="56" t="n"/>
      <c r="F213" s="56" t="n"/>
      <c r="G213" s="56" t="n"/>
      <c r="H213" s="56" t="n"/>
      <c r="I213" s="57" t="n"/>
      <c r="J213" s="56" t="n"/>
    </row>
    <row r="214" ht="15" customHeight="1" s="52">
      <c r="A214" s="61" t="n"/>
      <c r="B214" s="75" t="n"/>
      <c r="C214" s="63" t="n"/>
      <c r="D214" s="61" t="n"/>
      <c r="E214" s="61" t="n"/>
      <c r="F214" s="61" t="n"/>
      <c r="G214" s="61" t="n"/>
      <c r="H214" s="61" t="n"/>
      <c r="I214" s="62" t="n"/>
      <c r="J214" s="61" t="n"/>
    </row>
    <row r="215" ht="15" customHeight="1" s="52">
      <c r="A215" s="56" t="n"/>
      <c r="B215" s="74" t="n"/>
      <c r="C215" s="58" t="n"/>
      <c r="D215" s="56" t="n"/>
      <c r="E215" s="56" t="n"/>
      <c r="F215" s="56" t="n"/>
      <c r="G215" s="56" t="n"/>
      <c r="H215" s="56" t="n"/>
      <c r="I215" s="57" t="n"/>
      <c r="J215" s="56" t="n"/>
    </row>
    <row r="216" ht="15" customHeight="1" s="52">
      <c r="A216" s="61" t="n"/>
      <c r="B216" s="75" t="n"/>
      <c r="C216" s="63" t="n"/>
      <c r="D216" s="61" t="n"/>
      <c r="E216" s="61" t="n"/>
      <c r="F216" s="61" t="n"/>
      <c r="G216" s="61" t="n"/>
      <c r="H216" s="61" t="n"/>
      <c r="I216" s="62" t="n"/>
      <c r="J216" s="61" t="n"/>
    </row>
    <row r="217" ht="15" customHeight="1" s="52">
      <c r="A217" s="56" t="n"/>
      <c r="B217" s="74" t="n"/>
      <c r="C217" s="58" t="n"/>
      <c r="D217" s="56" t="n"/>
      <c r="E217" s="56" t="n"/>
      <c r="F217" s="56" t="n"/>
      <c r="G217" s="56" t="n"/>
      <c r="H217" s="56" t="n"/>
      <c r="I217" s="57" t="n"/>
      <c r="J217" s="56" t="n"/>
    </row>
    <row r="218" ht="15" customHeight="1" s="52">
      <c r="A218" s="61" t="n"/>
      <c r="B218" s="75" t="n"/>
      <c r="C218" s="63" t="n"/>
      <c r="D218" s="61" t="n"/>
      <c r="E218" s="61" t="n"/>
      <c r="F218" s="61" t="n"/>
      <c r="G218" s="61" t="n"/>
      <c r="H218" s="61" t="n"/>
      <c r="I218" s="62" t="n"/>
      <c r="J218" s="61" t="n"/>
    </row>
    <row r="219" ht="15" customHeight="1" s="52">
      <c r="A219" s="56" t="n"/>
      <c r="B219" s="74" t="n"/>
      <c r="C219" s="58" t="n"/>
      <c r="D219" s="56" t="n"/>
      <c r="E219" s="56" t="n"/>
      <c r="F219" s="56" t="n"/>
      <c r="G219" s="56" t="n"/>
      <c r="H219" s="56" t="n"/>
      <c r="I219" s="57" t="n"/>
      <c r="J219" s="56" t="n"/>
    </row>
    <row r="220" ht="15" customHeight="1" s="52">
      <c r="A220" s="61" t="n"/>
      <c r="B220" s="75" t="n"/>
      <c r="C220" s="63" t="n"/>
      <c r="D220" s="61" t="n"/>
      <c r="E220" s="61" t="n"/>
      <c r="F220" s="61" t="n"/>
      <c r="G220" s="61" t="n"/>
      <c r="H220" s="61" t="n"/>
      <c r="I220" s="62" t="n"/>
      <c r="J220" s="61" t="n"/>
    </row>
    <row r="221" ht="15" customHeight="1" s="52">
      <c r="A221" s="56" t="n"/>
      <c r="B221" s="74" t="n"/>
      <c r="C221" s="58" t="n"/>
      <c r="D221" s="56" t="n"/>
      <c r="E221" s="56" t="n"/>
      <c r="F221" s="56" t="n"/>
      <c r="G221" s="56" t="n"/>
      <c r="H221" s="56" t="n"/>
      <c r="I221" s="57" t="n"/>
      <c r="J221" s="56" t="n"/>
    </row>
    <row r="222" ht="15" customHeight="1" s="52">
      <c r="A222" s="61" t="n"/>
      <c r="B222" s="75" t="n"/>
      <c r="C222" s="63" t="n"/>
      <c r="D222" s="61" t="n"/>
      <c r="E222" s="61" t="n"/>
      <c r="F222" s="61" t="n"/>
      <c r="G222" s="61" t="n"/>
      <c r="H222" s="61" t="n"/>
      <c r="I222" s="62" t="n"/>
      <c r="J222" s="61" t="n"/>
    </row>
    <row r="223" ht="15" customHeight="1" s="52">
      <c r="A223" s="56" t="n"/>
      <c r="B223" s="74" t="n"/>
      <c r="C223" s="58" t="n"/>
      <c r="D223" s="56" t="n"/>
      <c r="E223" s="56" t="n"/>
      <c r="F223" s="56" t="n"/>
      <c r="G223" s="56" t="n"/>
      <c r="H223" s="56" t="n"/>
      <c r="I223" s="57" t="n"/>
      <c r="J223" s="56" t="n"/>
    </row>
    <row r="224" ht="15" customHeight="1" s="52">
      <c r="A224" s="61" t="n"/>
      <c r="B224" s="75" t="n"/>
      <c r="C224" s="63" t="n"/>
      <c r="D224" s="61" t="n"/>
      <c r="E224" s="61" t="n"/>
      <c r="F224" s="61" t="n"/>
      <c r="G224" s="61" t="n"/>
      <c r="H224" s="61" t="n"/>
      <c r="I224" s="62" t="n"/>
      <c r="J224" s="61" t="n"/>
    </row>
    <row r="225" ht="15" customHeight="1" s="52">
      <c r="A225" s="56" t="n"/>
      <c r="B225" s="74" t="n"/>
      <c r="C225" s="58" t="n"/>
      <c r="D225" s="56" t="n"/>
      <c r="E225" s="56" t="n"/>
      <c r="F225" s="56" t="n"/>
      <c r="G225" s="56" t="n"/>
      <c r="H225" s="56" t="n"/>
      <c r="I225" s="57" t="n"/>
      <c r="J225" s="56" t="n"/>
    </row>
    <row r="226" ht="15" customHeight="1" s="52">
      <c r="A226" s="61" t="n"/>
      <c r="B226" s="75" t="n"/>
      <c r="C226" s="63" t="n"/>
      <c r="D226" s="61" t="n"/>
      <c r="E226" s="61" t="n"/>
      <c r="F226" s="61" t="n"/>
      <c r="G226" s="61" t="n"/>
      <c r="H226" s="61" t="n"/>
      <c r="I226" s="62" t="n"/>
      <c r="J226" s="61" t="n"/>
    </row>
    <row r="227" ht="15" customHeight="1" s="52">
      <c r="A227" s="56" t="n"/>
      <c r="B227" s="74" t="n"/>
      <c r="C227" s="58" t="n"/>
      <c r="D227" s="56" t="n"/>
      <c r="E227" s="56" t="n"/>
      <c r="F227" s="56" t="n"/>
      <c r="G227" s="56" t="n"/>
      <c r="H227" s="56" t="n"/>
      <c r="I227" s="57" t="n"/>
      <c r="J227" s="56" t="n"/>
    </row>
    <row r="228" ht="15" customHeight="1" s="52">
      <c r="A228" s="61" t="n"/>
      <c r="B228" s="75" t="n"/>
      <c r="C228" s="63" t="n"/>
      <c r="D228" s="61" t="n"/>
      <c r="E228" s="61" t="n"/>
      <c r="F228" s="61" t="n"/>
      <c r="G228" s="61" t="n"/>
      <c r="H228" s="61" t="n"/>
      <c r="I228" s="62" t="n"/>
      <c r="J228" s="61" t="n"/>
    </row>
    <row r="229" ht="15" customHeight="1" s="52">
      <c r="A229" s="56" t="n"/>
      <c r="B229" s="74" t="n"/>
      <c r="C229" s="58" t="n"/>
      <c r="D229" s="56" t="n"/>
      <c r="E229" s="56" t="n"/>
      <c r="F229" s="56" t="n"/>
      <c r="G229" s="56" t="n"/>
      <c r="H229" s="56" t="n"/>
      <c r="I229" s="57" t="n"/>
      <c r="J229" s="56" t="n"/>
    </row>
    <row r="230" ht="15" customHeight="1" s="52">
      <c r="A230" s="61" t="n"/>
      <c r="B230" s="75" t="n"/>
      <c r="C230" s="63" t="n"/>
      <c r="D230" s="61" t="n"/>
      <c r="E230" s="61" t="n"/>
      <c r="F230" s="61" t="n"/>
      <c r="G230" s="61" t="n"/>
      <c r="H230" s="61" t="n"/>
      <c r="I230" s="62" t="n"/>
      <c r="J230" s="61" t="n"/>
    </row>
    <row r="231" ht="15" customHeight="1" s="52">
      <c r="A231" s="56" t="n"/>
      <c r="B231" s="74" t="n"/>
      <c r="C231" s="58" t="n"/>
      <c r="D231" s="56" t="n"/>
      <c r="E231" s="56" t="n"/>
      <c r="F231" s="56" t="n"/>
      <c r="G231" s="56" t="n"/>
      <c r="H231" s="56" t="n"/>
      <c r="I231" s="57" t="n"/>
      <c r="J231" s="56" t="n"/>
    </row>
    <row r="232" ht="15" customHeight="1" s="52">
      <c r="A232" s="61" t="n"/>
      <c r="B232" s="75" t="n"/>
      <c r="C232" s="63" t="n"/>
      <c r="D232" s="61" t="n"/>
      <c r="E232" s="61" t="n"/>
      <c r="F232" s="61" t="n"/>
      <c r="G232" s="61" t="n"/>
      <c r="H232" s="61" t="n"/>
      <c r="I232" s="62" t="n"/>
      <c r="J232" s="61" t="n"/>
    </row>
    <row r="233" ht="15" customHeight="1" s="52">
      <c r="A233" s="56" t="n"/>
      <c r="B233" s="74" t="n"/>
      <c r="C233" s="58" t="n"/>
      <c r="D233" s="56" t="n"/>
      <c r="E233" s="56" t="n"/>
      <c r="F233" s="56" t="n"/>
      <c r="G233" s="56" t="n"/>
      <c r="H233" s="56" t="n"/>
      <c r="I233" s="57" t="n"/>
      <c r="J233" s="56" t="n"/>
    </row>
    <row r="234" ht="15" customHeight="1" s="52">
      <c r="A234" s="61" t="n"/>
      <c r="B234" s="75" t="n"/>
      <c r="C234" s="63" t="n"/>
      <c r="D234" s="61" t="n"/>
      <c r="E234" s="61" t="n"/>
      <c r="F234" s="61" t="n"/>
      <c r="G234" s="61" t="n"/>
      <c r="H234" s="61" t="n"/>
      <c r="I234" s="62" t="n"/>
      <c r="J234" s="61" t="n"/>
    </row>
    <row r="235" ht="15" customHeight="1" s="52">
      <c r="A235" s="56" t="n"/>
      <c r="B235" s="74" t="n"/>
      <c r="C235" s="58" t="n"/>
      <c r="D235" s="56" t="n"/>
      <c r="E235" s="56" t="n"/>
      <c r="F235" s="56" t="n"/>
      <c r="G235" s="56" t="n"/>
      <c r="H235" s="56" t="n"/>
      <c r="I235" s="57" t="n"/>
      <c r="J235" s="56" t="n"/>
    </row>
    <row r="236" ht="15" customHeight="1" s="52">
      <c r="A236" s="61" t="n"/>
      <c r="B236" s="75" t="n"/>
      <c r="C236" s="63" t="n"/>
      <c r="D236" s="61" t="n"/>
      <c r="E236" s="61" t="n"/>
      <c r="F236" s="61" t="n"/>
      <c r="G236" s="61" t="n"/>
      <c r="H236" s="61" t="n"/>
      <c r="I236" s="62" t="n"/>
      <c r="J236" s="61" t="n"/>
    </row>
    <row r="237" ht="15" customHeight="1" s="52">
      <c r="A237" s="56" t="n"/>
      <c r="B237" s="74" t="n"/>
      <c r="C237" s="58" t="n"/>
      <c r="D237" s="56" t="n"/>
      <c r="E237" s="56" t="n"/>
      <c r="F237" s="56" t="n"/>
      <c r="G237" s="56" t="n"/>
      <c r="H237" s="56" t="n"/>
      <c r="I237" s="57" t="n"/>
      <c r="J237" s="56" t="n"/>
    </row>
    <row r="238" ht="15" customHeight="1" s="52">
      <c r="A238" s="61" t="n"/>
      <c r="B238" s="75" t="n"/>
      <c r="C238" s="63" t="n"/>
      <c r="D238" s="61" t="n"/>
      <c r="E238" s="61" t="n"/>
      <c r="F238" s="61" t="n"/>
      <c r="G238" s="61" t="n"/>
      <c r="H238" s="61" t="n"/>
      <c r="I238" s="62" t="n"/>
      <c r="J238" s="61" t="n"/>
    </row>
    <row r="239" ht="15" customHeight="1" s="52">
      <c r="A239" s="56" t="n"/>
      <c r="B239" s="74" t="n"/>
      <c r="C239" s="58" t="n"/>
      <c r="D239" s="56" t="n"/>
      <c r="E239" s="56" t="n"/>
      <c r="F239" s="56" t="n"/>
      <c r="G239" s="56" t="n"/>
      <c r="H239" s="56" t="n"/>
      <c r="I239" s="57" t="n"/>
      <c r="J239" s="56" t="n"/>
    </row>
    <row r="240" ht="15" customHeight="1" s="52">
      <c r="A240" s="61" t="n"/>
      <c r="B240" s="75" t="n"/>
      <c r="C240" s="63" t="n"/>
      <c r="D240" s="61" t="n"/>
      <c r="E240" s="61" t="n"/>
      <c r="F240" s="61" t="n"/>
      <c r="G240" s="61" t="n"/>
      <c r="H240" s="61" t="n"/>
      <c r="I240" s="62" t="n"/>
      <c r="J240" s="61" t="n"/>
    </row>
    <row r="241" ht="15" customHeight="1" s="52">
      <c r="A241" s="56" t="n"/>
      <c r="B241" s="74" t="n"/>
      <c r="C241" s="58" t="n"/>
      <c r="D241" s="56" t="n"/>
      <c r="E241" s="56" t="n"/>
      <c r="F241" s="56" t="n"/>
      <c r="G241" s="56" t="n"/>
      <c r="H241" s="56" t="n"/>
      <c r="I241" s="57" t="n"/>
      <c r="J241" s="56" t="n"/>
    </row>
    <row r="242" ht="15" customHeight="1" s="52">
      <c r="A242" s="61" t="n"/>
      <c r="B242" s="75" t="n"/>
      <c r="C242" s="63" t="n"/>
      <c r="D242" s="61" t="n"/>
      <c r="E242" s="61" t="n"/>
      <c r="F242" s="61" t="n"/>
      <c r="G242" s="61" t="n"/>
      <c r="H242" s="61" t="n"/>
      <c r="I242" s="62" t="n"/>
      <c r="J242" s="61" t="n"/>
    </row>
    <row r="243" ht="15" customHeight="1" s="52">
      <c r="A243" s="56" t="n"/>
      <c r="B243" s="74" t="n"/>
      <c r="C243" s="58" t="n"/>
      <c r="D243" s="56" t="n"/>
      <c r="E243" s="56" t="n"/>
      <c r="F243" s="56" t="n"/>
      <c r="G243" s="56" t="n"/>
      <c r="H243" s="56" t="n"/>
      <c r="I243" s="57" t="n"/>
      <c r="J243" s="56" t="n"/>
    </row>
    <row r="244" ht="15" customHeight="1" s="52">
      <c r="A244" s="61" t="n"/>
      <c r="B244" s="75" t="n"/>
      <c r="C244" s="63" t="n"/>
      <c r="D244" s="61" t="n"/>
      <c r="E244" s="61" t="n"/>
      <c r="F244" s="61" t="n"/>
      <c r="G244" s="61" t="n"/>
      <c r="H244" s="61" t="n"/>
      <c r="I244" s="62" t="n"/>
      <c r="J244" s="61" t="n"/>
    </row>
    <row r="245" ht="15" customHeight="1" s="52">
      <c r="A245" s="56" t="n"/>
      <c r="B245" s="74" t="n"/>
      <c r="C245" s="58" t="n"/>
      <c r="D245" s="56" t="n"/>
      <c r="E245" s="56" t="n"/>
      <c r="F245" s="56" t="n"/>
      <c r="G245" s="56" t="n"/>
      <c r="H245" s="56" t="n"/>
      <c r="I245" s="57" t="n"/>
      <c r="J245" s="56" t="n"/>
    </row>
    <row r="246" ht="15" customHeight="1" s="52">
      <c r="A246" s="61" t="n"/>
      <c r="B246" s="75" t="n"/>
      <c r="C246" s="63" t="n"/>
      <c r="D246" s="61" t="n"/>
      <c r="E246" s="61" t="n"/>
      <c r="F246" s="61" t="n"/>
      <c r="G246" s="61" t="n"/>
      <c r="H246" s="61" t="n"/>
      <c r="I246" s="62" t="n"/>
      <c r="J246" s="61" t="n"/>
    </row>
    <row r="247" ht="15" customHeight="1" s="52">
      <c r="A247" s="56" t="n"/>
      <c r="B247" s="74" t="n"/>
      <c r="C247" s="58" t="n"/>
      <c r="D247" s="56" t="n"/>
      <c r="E247" s="56" t="n"/>
      <c r="F247" s="56" t="n"/>
      <c r="G247" s="56" t="n"/>
      <c r="H247" s="56" t="n"/>
      <c r="I247" s="57" t="n"/>
      <c r="J247" s="56" t="n"/>
    </row>
    <row r="248" ht="15" customHeight="1" s="52">
      <c r="A248" s="61" t="n"/>
      <c r="B248" s="75" t="n"/>
      <c r="C248" s="63" t="n"/>
      <c r="D248" s="61" t="n"/>
      <c r="E248" s="61" t="n"/>
      <c r="F248" s="61" t="n"/>
      <c r="G248" s="61" t="n"/>
      <c r="H248" s="61" t="n"/>
      <c r="I248" s="62" t="n"/>
      <c r="J248" s="61" t="n"/>
    </row>
    <row r="249" ht="15" customHeight="1" s="52">
      <c r="A249" s="56" t="n"/>
      <c r="B249" s="74" t="n"/>
      <c r="C249" s="58" t="n"/>
      <c r="D249" s="56" t="n"/>
      <c r="E249" s="56" t="n"/>
      <c r="F249" s="56" t="n"/>
      <c r="G249" s="56" t="n"/>
      <c r="H249" s="56" t="n"/>
      <c r="I249" s="57" t="n"/>
      <c r="J249" s="56" t="n"/>
    </row>
    <row r="250" ht="15" customHeight="1" s="52">
      <c r="A250" s="61" t="n"/>
      <c r="B250" s="75" t="n"/>
      <c r="C250" s="63" t="n"/>
      <c r="D250" s="61" t="n"/>
      <c r="E250" s="61" t="n"/>
      <c r="F250" s="61" t="n"/>
      <c r="G250" s="61" t="n"/>
      <c r="H250" s="61" t="n"/>
      <c r="I250" s="62" t="n"/>
      <c r="J250" s="61" t="n"/>
    </row>
    <row r="251" ht="15" customHeight="1" s="52">
      <c r="A251" s="56" t="n"/>
      <c r="B251" s="74" t="n"/>
      <c r="C251" s="58" t="n"/>
      <c r="D251" s="56" t="n"/>
      <c r="E251" s="56" t="n"/>
      <c r="F251" s="56" t="n"/>
      <c r="G251" s="56" t="n"/>
      <c r="H251" s="56" t="n"/>
      <c r="I251" s="57" t="n"/>
      <c r="J251" s="56" t="n"/>
    </row>
    <row r="252" ht="15" customHeight="1" s="52">
      <c r="A252" s="61" t="n"/>
      <c r="B252" s="75" t="n"/>
      <c r="C252" s="63" t="n"/>
      <c r="D252" s="61" t="n"/>
      <c r="E252" s="61" t="n"/>
      <c r="F252" s="61" t="n"/>
      <c r="G252" s="61" t="n"/>
      <c r="H252" s="61" t="n"/>
      <c r="I252" s="62" t="n"/>
      <c r="J252" s="61" t="n"/>
    </row>
    <row r="253" ht="15" customHeight="1" s="52">
      <c r="A253" s="56" t="n"/>
      <c r="B253" s="74" t="n"/>
      <c r="C253" s="58" t="n"/>
      <c r="D253" s="56" t="n"/>
      <c r="E253" s="56" t="n"/>
      <c r="F253" s="56" t="n"/>
      <c r="G253" s="56" t="n"/>
      <c r="H253" s="56" t="n"/>
      <c r="I253" s="57" t="n"/>
      <c r="J253" s="56" t="n"/>
    </row>
    <row r="254" ht="15" customHeight="1" s="52">
      <c r="A254" s="61" t="n"/>
      <c r="B254" s="75" t="n"/>
      <c r="C254" s="63" t="n"/>
      <c r="D254" s="61" t="n"/>
      <c r="E254" s="61" t="n"/>
      <c r="F254" s="61" t="n"/>
      <c r="G254" s="61" t="n"/>
      <c r="H254" s="61" t="n"/>
      <c r="I254" s="62" t="n"/>
      <c r="J254" s="61" t="n"/>
    </row>
    <row r="255" ht="15" customHeight="1" s="52">
      <c r="A255" s="56" t="n"/>
      <c r="B255" s="74" t="n"/>
      <c r="C255" s="58" t="n"/>
      <c r="D255" s="56" t="n"/>
      <c r="E255" s="56" t="n"/>
      <c r="F255" s="56" t="n"/>
      <c r="G255" s="56" t="n"/>
      <c r="H255" s="56" t="n"/>
      <c r="I255" s="57" t="n"/>
      <c r="J255" s="56" t="n"/>
    </row>
    <row r="256" ht="15" customHeight="1" s="52">
      <c r="A256" s="61" t="n"/>
      <c r="B256" s="75" t="n"/>
      <c r="C256" s="63" t="n"/>
      <c r="D256" s="61" t="n"/>
      <c r="E256" s="61" t="n"/>
      <c r="F256" s="61" t="n"/>
      <c r="G256" s="61" t="n"/>
      <c r="H256" s="61" t="n"/>
      <c r="I256" s="62" t="n"/>
      <c r="J256" s="61" t="n"/>
    </row>
    <row r="257" ht="15" customHeight="1" s="52">
      <c r="A257" s="56" t="n"/>
      <c r="B257" s="74" t="n"/>
      <c r="C257" s="58" t="n"/>
      <c r="D257" s="56" t="n"/>
      <c r="E257" s="56" t="n"/>
      <c r="F257" s="56" t="n"/>
      <c r="G257" s="56" t="n"/>
      <c r="H257" s="56" t="n"/>
      <c r="I257" s="57" t="n"/>
      <c r="J257" s="56" t="n"/>
    </row>
    <row r="258" ht="15" customHeight="1" s="52">
      <c r="A258" s="61" t="n"/>
      <c r="B258" s="75" t="n"/>
      <c r="C258" s="63" t="n"/>
      <c r="D258" s="61" t="n"/>
      <c r="E258" s="61" t="n"/>
      <c r="F258" s="61" t="n"/>
      <c r="G258" s="61" t="n"/>
      <c r="H258" s="61" t="n"/>
      <c r="I258" s="62" t="n"/>
      <c r="J258" s="61" t="n"/>
    </row>
    <row r="259" ht="15" customHeight="1" s="52">
      <c r="A259" s="56" t="n"/>
      <c r="B259" s="74" t="n"/>
      <c r="C259" s="58" t="n"/>
      <c r="D259" s="56" t="n"/>
      <c r="E259" s="56" t="n"/>
      <c r="F259" s="56" t="n"/>
      <c r="G259" s="56" t="n"/>
      <c r="H259" s="56" t="n"/>
      <c r="I259" s="57" t="n"/>
      <c r="J259" s="56" t="n"/>
    </row>
    <row r="260" ht="15" customHeight="1" s="52">
      <c r="A260" s="61" t="n"/>
      <c r="B260" s="75" t="n"/>
      <c r="C260" s="63" t="n"/>
      <c r="D260" s="61" t="n"/>
      <c r="E260" s="61" t="n"/>
      <c r="F260" s="61" t="n"/>
      <c r="G260" s="61" t="n"/>
      <c r="H260" s="61" t="n"/>
      <c r="I260" s="62" t="n"/>
      <c r="J260" s="61" t="n"/>
    </row>
    <row r="261" ht="15" customHeight="1" s="52">
      <c r="A261" s="56" t="n"/>
      <c r="B261" s="74" t="n"/>
      <c r="C261" s="58" t="n"/>
      <c r="D261" s="56" t="n"/>
      <c r="E261" s="56" t="n"/>
      <c r="F261" s="56" t="n"/>
      <c r="G261" s="56" t="n"/>
      <c r="H261" s="56" t="n"/>
      <c r="I261" s="57" t="n"/>
      <c r="J261" s="56" t="n"/>
    </row>
    <row r="262" ht="15" customHeight="1" s="52">
      <c r="A262" s="61" t="n"/>
      <c r="B262" s="75" t="n"/>
      <c r="C262" s="63" t="n"/>
      <c r="D262" s="61" t="n"/>
      <c r="E262" s="61" t="n"/>
      <c r="F262" s="61" t="n"/>
      <c r="G262" s="61" t="n"/>
      <c r="H262" s="61" t="n"/>
      <c r="I262" s="62" t="n"/>
      <c r="J262" s="61" t="n"/>
    </row>
    <row r="263" ht="15" customHeight="1" s="52">
      <c r="A263" s="56" t="n"/>
      <c r="B263" s="74" t="n"/>
      <c r="C263" s="58" t="n"/>
      <c r="D263" s="56" t="n"/>
      <c r="E263" s="56" t="n"/>
      <c r="F263" s="56" t="n"/>
      <c r="G263" s="56" t="n"/>
      <c r="H263" s="56" t="n"/>
      <c r="I263" s="57" t="n"/>
      <c r="J263" s="56" t="n"/>
    </row>
    <row r="264" ht="15" customHeight="1" s="52">
      <c r="A264" s="61" t="n"/>
      <c r="B264" s="75" t="n"/>
      <c r="C264" s="63" t="n"/>
      <c r="D264" s="61" t="n"/>
      <c r="E264" s="61" t="n"/>
      <c r="F264" s="61" t="n"/>
      <c r="G264" s="61" t="n"/>
      <c r="H264" s="61" t="n"/>
      <c r="I264" s="62" t="n"/>
      <c r="J264" s="61" t="n"/>
    </row>
    <row r="265" ht="15" customHeight="1" s="52">
      <c r="A265" s="56" t="n"/>
      <c r="B265" s="74" t="n"/>
      <c r="C265" s="58" t="n"/>
      <c r="D265" s="56" t="n"/>
      <c r="E265" s="56" t="n"/>
      <c r="F265" s="56" t="n"/>
      <c r="G265" s="56" t="n"/>
      <c r="H265" s="56" t="n"/>
      <c r="I265" s="57" t="n"/>
      <c r="J265" s="56" t="n"/>
    </row>
    <row r="266" ht="15" customHeight="1" s="52">
      <c r="A266" s="61" t="n"/>
      <c r="B266" s="75" t="n"/>
      <c r="C266" s="63" t="n"/>
      <c r="D266" s="61" t="n"/>
      <c r="E266" s="61" t="n"/>
      <c r="F266" s="61" t="n"/>
      <c r="G266" s="61" t="n"/>
      <c r="H266" s="61" t="n"/>
      <c r="I266" s="62" t="n"/>
      <c r="J266" s="61" t="n"/>
    </row>
    <row r="267" ht="15" customHeight="1" s="52">
      <c r="A267" s="56" t="n"/>
      <c r="B267" s="74" t="n"/>
      <c r="C267" s="58" t="n"/>
      <c r="D267" s="56" t="n"/>
      <c r="E267" s="56" t="n"/>
      <c r="F267" s="56" t="n"/>
      <c r="G267" s="56" t="n"/>
      <c r="H267" s="56" t="n"/>
      <c r="I267" s="57" t="n"/>
      <c r="J267" s="56" t="n"/>
    </row>
    <row r="268" ht="15" customHeight="1" s="52">
      <c r="A268" s="61" t="n"/>
      <c r="B268" s="75" t="n"/>
      <c r="C268" s="63" t="n"/>
      <c r="D268" s="61" t="n"/>
      <c r="E268" s="61" t="n"/>
      <c r="F268" s="61" t="n"/>
      <c r="G268" s="61" t="n"/>
      <c r="H268" s="61" t="n"/>
      <c r="I268" s="62" t="n"/>
      <c r="J268" s="61" t="n"/>
    </row>
    <row r="269" ht="15" customHeight="1" s="52">
      <c r="A269" s="56" t="n"/>
      <c r="B269" s="74" t="n"/>
      <c r="C269" s="58" t="n"/>
      <c r="D269" s="56" t="n"/>
      <c r="E269" s="56" t="n"/>
      <c r="F269" s="56" t="n"/>
      <c r="G269" s="56" t="n"/>
      <c r="H269" s="56" t="n"/>
      <c r="I269" s="57" t="n"/>
      <c r="J269" s="56" t="n"/>
    </row>
    <row r="270" ht="15" customHeight="1" s="52">
      <c r="A270" s="61" t="n"/>
      <c r="B270" s="75" t="n"/>
      <c r="C270" s="63" t="n"/>
      <c r="D270" s="61" t="n"/>
      <c r="E270" s="61" t="n"/>
      <c r="F270" s="61" t="n"/>
      <c r="G270" s="61" t="n"/>
      <c r="H270" s="61" t="n"/>
      <c r="I270" s="62" t="n"/>
      <c r="J270" s="61" t="n"/>
    </row>
    <row r="271" ht="15" customHeight="1" s="52">
      <c r="A271" s="56" t="n"/>
      <c r="B271" s="74" t="n"/>
      <c r="C271" s="58" t="n"/>
      <c r="D271" s="56" t="n"/>
      <c r="E271" s="56" t="n"/>
      <c r="F271" s="56" t="n"/>
      <c r="G271" s="56" t="n"/>
      <c r="H271" s="56" t="n"/>
      <c r="I271" s="57" t="n"/>
      <c r="J271" s="56" t="n"/>
    </row>
    <row r="272" ht="15" customHeight="1" s="52">
      <c r="A272" s="61" t="n"/>
      <c r="B272" s="75" t="n"/>
      <c r="C272" s="63" t="n"/>
      <c r="D272" s="61" t="n"/>
      <c r="E272" s="61" t="n"/>
      <c r="F272" s="61" t="n"/>
      <c r="G272" s="61" t="n"/>
      <c r="H272" s="61" t="n"/>
      <c r="I272" s="62" t="n"/>
      <c r="J272" s="61" t="n"/>
    </row>
    <row r="273" ht="15" customHeight="1" s="52">
      <c r="A273" s="56" t="n"/>
      <c r="B273" s="74" t="n"/>
      <c r="C273" s="58" t="n"/>
      <c r="D273" s="56" t="n"/>
      <c r="E273" s="56" t="n"/>
      <c r="F273" s="56" t="n"/>
      <c r="G273" s="56" t="n"/>
      <c r="H273" s="56" t="n"/>
      <c r="I273" s="57" t="n"/>
      <c r="J273" s="56" t="n"/>
    </row>
    <row r="274" ht="15" customHeight="1" s="52">
      <c r="A274" s="61" t="n"/>
      <c r="B274" s="75" t="n"/>
      <c r="C274" s="63" t="n"/>
      <c r="D274" s="61" t="n"/>
      <c r="E274" s="61" t="n"/>
      <c r="F274" s="61" t="n"/>
      <c r="G274" s="61" t="n"/>
      <c r="H274" s="61" t="n"/>
      <c r="I274" s="62" t="n"/>
      <c r="J274" s="61" t="n"/>
    </row>
    <row r="275" ht="15" customHeight="1" s="52">
      <c r="A275" s="56" t="n"/>
      <c r="B275" s="74" t="n"/>
      <c r="C275" s="58" t="n"/>
      <c r="D275" s="56" t="n"/>
      <c r="E275" s="56" t="n"/>
      <c r="F275" s="56" t="n"/>
      <c r="G275" s="56" t="n"/>
      <c r="H275" s="56" t="n"/>
      <c r="I275" s="57" t="n"/>
      <c r="J275" s="56" t="n"/>
    </row>
    <row r="276" ht="15" customHeight="1" s="52">
      <c r="A276" s="61" t="n"/>
      <c r="B276" s="75" t="n"/>
      <c r="C276" s="63" t="n"/>
      <c r="D276" s="61" t="n"/>
      <c r="E276" s="61" t="n"/>
      <c r="F276" s="61" t="n"/>
      <c r="G276" s="61" t="n"/>
      <c r="H276" s="61" t="n"/>
      <c r="I276" s="62" t="n"/>
      <c r="J276" s="61" t="n"/>
    </row>
    <row r="277" ht="15" customHeight="1" s="52">
      <c r="A277" s="56" t="n"/>
      <c r="B277" s="74" t="n"/>
      <c r="C277" s="58" t="n"/>
      <c r="D277" s="56" t="n"/>
      <c r="E277" s="56" t="n"/>
      <c r="F277" s="56" t="n"/>
      <c r="G277" s="56" t="n"/>
      <c r="H277" s="56" t="n"/>
      <c r="I277" s="57" t="n"/>
      <c r="J277" s="56" t="n"/>
    </row>
    <row r="278" ht="15" customHeight="1" s="52">
      <c r="A278" s="61" t="n"/>
      <c r="B278" s="75" t="n"/>
      <c r="C278" s="63" t="n"/>
      <c r="D278" s="61" t="n"/>
      <c r="E278" s="61" t="n"/>
      <c r="F278" s="61" t="n"/>
      <c r="G278" s="61" t="n"/>
      <c r="H278" s="61" t="n"/>
      <c r="I278" s="62" t="n"/>
      <c r="J278" s="61" t="n"/>
    </row>
    <row r="279" ht="15" customHeight="1" s="52">
      <c r="A279" s="56" t="n"/>
      <c r="B279" s="74" t="n"/>
      <c r="C279" s="58" t="n"/>
      <c r="D279" s="56" t="n"/>
      <c r="E279" s="56" t="n"/>
      <c r="F279" s="56" t="n"/>
      <c r="G279" s="56" t="n"/>
      <c r="H279" s="56" t="n"/>
      <c r="I279" s="57" t="n"/>
      <c r="J279" s="56" t="n"/>
    </row>
    <row r="280" ht="15" customHeight="1" s="52">
      <c r="A280" s="61" t="n"/>
      <c r="B280" s="75" t="n"/>
      <c r="C280" s="63" t="n"/>
      <c r="D280" s="61" t="n"/>
      <c r="E280" s="61" t="n"/>
      <c r="F280" s="61" t="n"/>
      <c r="G280" s="61" t="n"/>
      <c r="H280" s="61" t="n"/>
      <c r="I280" s="62" t="n"/>
      <c r="J280" s="61" t="n"/>
    </row>
    <row r="281" ht="15" customHeight="1" s="52">
      <c r="A281" s="56" t="n"/>
      <c r="B281" s="74" t="n"/>
      <c r="C281" s="58" t="n"/>
      <c r="D281" s="56" t="n"/>
      <c r="E281" s="56" t="n"/>
      <c r="F281" s="56" t="n"/>
      <c r="G281" s="56" t="n"/>
      <c r="H281" s="56" t="n"/>
      <c r="I281" s="57" t="n"/>
      <c r="J281" s="56" t="n"/>
    </row>
    <row r="282" ht="15" customHeight="1" s="52">
      <c r="A282" s="61" t="n"/>
      <c r="B282" s="75" t="n"/>
      <c r="C282" s="63" t="n"/>
      <c r="D282" s="61" t="n"/>
      <c r="E282" s="61" t="n"/>
      <c r="F282" s="61" t="n"/>
      <c r="G282" s="61" t="n"/>
      <c r="H282" s="61" t="n"/>
      <c r="I282" s="62" t="n"/>
      <c r="J282" s="61" t="n"/>
    </row>
    <row r="283" ht="15" customHeight="1" s="52">
      <c r="A283" s="56" t="n"/>
      <c r="B283" s="74" t="n"/>
      <c r="C283" s="58" t="n"/>
      <c r="D283" s="56" t="n"/>
      <c r="E283" s="56" t="n"/>
      <c r="F283" s="56" t="n"/>
      <c r="G283" s="56" t="n"/>
      <c r="H283" s="56" t="n"/>
      <c r="I283" s="57" t="n"/>
      <c r="J283" s="56" t="n"/>
    </row>
    <row r="284" ht="15" customHeight="1" s="52">
      <c r="A284" s="61" t="n"/>
      <c r="B284" s="75" t="n"/>
      <c r="C284" s="63" t="n"/>
      <c r="D284" s="61" t="n"/>
      <c r="E284" s="61" t="n"/>
      <c r="F284" s="61" t="n"/>
      <c r="G284" s="61" t="n"/>
      <c r="H284" s="61" t="n"/>
      <c r="I284" s="62" t="n"/>
      <c r="J284" s="61" t="n"/>
    </row>
    <row r="285" ht="15" customHeight="1" s="52">
      <c r="A285" s="56" t="n"/>
      <c r="B285" s="74" t="n"/>
      <c r="C285" s="58" t="n"/>
      <c r="D285" s="56" t="n"/>
      <c r="E285" s="56" t="n"/>
      <c r="F285" s="56" t="n"/>
      <c r="G285" s="56" t="n"/>
      <c r="H285" s="56" t="n"/>
      <c r="I285" s="57" t="n"/>
      <c r="J285" s="56" t="n"/>
    </row>
    <row r="286" ht="15" customHeight="1" s="52">
      <c r="A286" s="61" t="n"/>
      <c r="B286" s="75" t="n"/>
      <c r="C286" s="63" t="n"/>
      <c r="D286" s="61" t="n"/>
      <c r="E286" s="61" t="n"/>
      <c r="F286" s="61" t="n"/>
      <c r="G286" s="61" t="n"/>
      <c r="H286" s="61" t="n"/>
      <c r="I286" s="62" t="n"/>
      <c r="J286" s="61" t="n"/>
    </row>
    <row r="287" ht="15" customHeight="1" s="52">
      <c r="A287" s="56" t="n"/>
      <c r="B287" s="74" t="n"/>
      <c r="C287" s="58" t="n"/>
      <c r="D287" s="56" t="n"/>
      <c r="E287" s="56" t="n"/>
      <c r="F287" s="56" t="n"/>
      <c r="G287" s="56" t="n"/>
      <c r="H287" s="56" t="n"/>
      <c r="I287" s="57" t="n"/>
      <c r="J287" s="56" t="n"/>
    </row>
    <row r="288" ht="15" customHeight="1" s="52">
      <c r="A288" s="61" t="n"/>
      <c r="B288" s="75" t="n"/>
      <c r="C288" s="63" t="n"/>
      <c r="D288" s="61" t="n"/>
      <c r="E288" s="61" t="n"/>
      <c r="F288" s="61" t="n"/>
      <c r="G288" s="61" t="n"/>
      <c r="H288" s="61" t="n"/>
      <c r="I288" s="62" t="n"/>
      <c r="J288" s="61" t="n"/>
    </row>
    <row r="289" ht="15" customHeight="1" s="52">
      <c r="A289" s="56" t="n"/>
      <c r="B289" s="74" t="n"/>
      <c r="C289" s="58" t="n"/>
      <c r="D289" s="56" t="n"/>
      <c r="E289" s="56" t="n"/>
      <c r="F289" s="56" t="n"/>
      <c r="G289" s="56" t="n"/>
      <c r="H289" s="56" t="n"/>
      <c r="I289" s="57" t="n"/>
      <c r="J289" s="56" t="n"/>
    </row>
    <row r="290" ht="15" customHeight="1" s="52">
      <c r="A290" s="61" t="n"/>
      <c r="B290" s="75" t="n"/>
      <c r="C290" s="63" t="n"/>
      <c r="D290" s="61" t="n"/>
      <c r="E290" s="61" t="n"/>
      <c r="F290" s="61" t="n"/>
      <c r="G290" s="61" t="n"/>
      <c r="H290" s="61" t="n"/>
      <c r="I290" s="62" t="n"/>
      <c r="J290" s="61" t="n"/>
    </row>
    <row r="291" ht="15" customHeight="1" s="52">
      <c r="A291" s="56" t="n"/>
      <c r="B291" s="74" t="n"/>
      <c r="C291" s="58" t="n"/>
      <c r="D291" s="56" t="n"/>
      <c r="E291" s="56" t="n"/>
      <c r="F291" s="56" t="n"/>
      <c r="G291" s="56" t="n"/>
      <c r="H291" s="56" t="n"/>
      <c r="I291" s="57" t="n"/>
      <c r="J291" s="56" t="n"/>
    </row>
    <row r="292" ht="15" customHeight="1" s="52">
      <c r="A292" s="61" t="n"/>
      <c r="B292" s="75" t="n"/>
      <c r="C292" s="63" t="n"/>
      <c r="D292" s="61" t="n"/>
      <c r="E292" s="61" t="n"/>
      <c r="F292" s="61" t="n"/>
      <c r="G292" s="61" t="n"/>
      <c r="H292" s="61" t="n"/>
      <c r="I292" s="62" t="n"/>
      <c r="J292" s="61" t="n"/>
    </row>
    <row r="293" ht="15" customHeight="1" s="52">
      <c r="A293" s="56" t="n"/>
      <c r="B293" s="74" t="n"/>
      <c r="C293" s="58" t="n"/>
      <c r="D293" s="56" t="n"/>
      <c r="E293" s="56" t="n"/>
      <c r="F293" s="56" t="n"/>
      <c r="G293" s="56" t="n"/>
      <c r="H293" s="56" t="n"/>
      <c r="I293" s="57" t="n"/>
      <c r="J293" s="56" t="n"/>
    </row>
    <row r="294" ht="15" customHeight="1" s="52">
      <c r="A294" s="61" t="n"/>
      <c r="B294" s="75" t="n"/>
      <c r="C294" s="63" t="n"/>
      <c r="D294" s="61" t="n"/>
      <c r="E294" s="61" t="n"/>
      <c r="F294" s="61" t="n"/>
      <c r="G294" s="61" t="n"/>
      <c r="H294" s="61" t="n"/>
      <c r="I294" s="62" t="n"/>
      <c r="J294" s="61" t="n"/>
    </row>
    <row r="295" ht="15" customHeight="1" s="52">
      <c r="A295" s="56" t="n"/>
      <c r="B295" s="74" t="n"/>
      <c r="C295" s="58" t="n"/>
      <c r="D295" s="56" t="n"/>
      <c r="E295" s="56" t="n"/>
      <c r="F295" s="56" t="n"/>
      <c r="G295" s="56" t="n"/>
      <c r="H295" s="56" t="n"/>
      <c r="I295" s="57" t="n"/>
      <c r="J295" s="56" t="n"/>
    </row>
    <row r="296" ht="15" customHeight="1" s="52">
      <c r="A296" s="61" t="n"/>
      <c r="B296" s="75" t="n"/>
      <c r="C296" s="63" t="n"/>
      <c r="D296" s="61" t="n"/>
      <c r="E296" s="61" t="n"/>
      <c r="F296" s="61" t="n"/>
      <c r="G296" s="61" t="n"/>
      <c r="H296" s="61" t="n"/>
      <c r="I296" s="62" t="n"/>
      <c r="J296" s="61" t="n"/>
    </row>
    <row r="297" ht="15" customHeight="1" s="52">
      <c r="A297" s="56" t="n"/>
      <c r="B297" s="74" t="n"/>
      <c r="C297" s="58" t="n"/>
      <c r="D297" s="56" t="n"/>
      <c r="E297" s="56" t="n"/>
      <c r="F297" s="56" t="n"/>
      <c r="G297" s="56" t="n"/>
      <c r="H297" s="56" t="n"/>
      <c r="I297" s="57" t="n"/>
      <c r="J297" s="56" t="n"/>
    </row>
    <row r="298" ht="15" customHeight="1" s="52">
      <c r="A298" s="61" t="n"/>
      <c r="B298" s="75" t="n"/>
      <c r="C298" s="63" t="n"/>
      <c r="D298" s="61" t="n"/>
      <c r="E298" s="61" t="n"/>
      <c r="F298" s="61" t="n"/>
      <c r="G298" s="61" t="n"/>
      <c r="H298" s="61" t="n"/>
      <c r="I298" s="62" t="n"/>
      <c r="J298" s="61" t="n"/>
    </row>
    <row r="299" ht="15" customHeight="1" s="52">
      <c r="A299" s="56" t="n"/>
      <c r="B299" s="74" t="n"/>
      <c r="C299" s="58" t="n"/>
      <c r="D299" s="56" t="n"/>
      <c r="E299" s="56" t="n"/>
      <c r="F299" s="56" t="n"/>
      <c r="G299" s="56" t="n"/>
      <c r="H299" s="56" t="n"/>
      <c r="I299" s="57" t="n"/>
      <c r="J299" s="56" t="n"/>
    </row>
    <row r="300" ht="15" customHeight="1" s="52">
      <c r="A300" s="61" t="n"/>
      <c r="B300" s="75" t="n"/>
      <c r="C300" s="63" t="n"/>
      <c r="D300" s="61" t="n"/>
      <c r="E300" s="61" t="n"/>
      <c r="F300" s="61" t="n"/>
      <c r="G300" s="61" t="n"/>
      <c r="H300" s="61" t="n"/>
      <c r="I300" s="62" t="n"/>
      <c r="J300" s="61" t="n"/>
    </row>
    <row r="301" ht="15" customHeight="1" s="52">
      <c r="A301" s="56" t="n"/>
      <c r="B301" s="74" t="n"/>
      <c r="C301" s="58" t="n"/>
      <c r="D301" s="56" t="n"/>
      <c r="E301" s="56" t="n"/>
      <c r="F301" s="56" t="n"/>
      <c r="G301" s="56" t="n"/>
      <c r="H301" s="56" t="n"/>
      <c r="I301" s="57" t="n"/>
      <c r="J301" s="56" t="n"/>
    </row>
    <row r="302" ht="15" customHeight="1" s="52">
      <c r="A302" s="61" t="n"/>
      <c r="B302" s="75" t="n"/>
      <c r="C302" s="63" t="n"/>
      <c r="D302" s="61" t="n"/>
      <c r="E302" s="61" t="n"/>
      <c r="F302" s="61" t="n"/>
      <c r="G302" s="61" t="n"/>
      <c r="H302" s="61" t="n"/>
      <c r="I302" s="62" t="n"/>
      <c r="J302" s="61" t="n"/>
    </row>
    <row r="303" ht="15" customHeight="1" s="52">
      <c r="A303" s="56" t="n"/>
      <c r="B303" s="74" t="n"/>
      <c r="C303" s="58" t="n"/>
      <c r="D303" s="56" t="n"/>
      <c r="E303" s="56" t="n"/>
      <c r="F303" s="56" t="n"/>
      <c r="G303" s="56" t="n"/>
      <c r="H303" s="56" t="n"/>
      <c r="I303" s="57" t="n"/>
      <c r="J303" s="56" t="n"/>
    </row>
    <row r="304" ht="15" customHeight="1" s="52">
      <c r="A304" s="61" t="n"/>
      <c r="B304" s="75" t="n"/>
      <c r="C304" s="63" t="n"/>
      <c r="D304" s="61" t="n"/>
      <c r="E304" s="61" t="n"/>
      <c r="F304" s="61" t="n"/>
      <c r="G304" s="61" t="n"/>
      <c r="H304" s="61" t="n"/>
      <c r="I304" s="62" t="n"/>
      <c r="J304" s="61" t="n"/>
    </row>
    <row r="305" ht="15" customHeight="1" s="52">
      <c r="A305" s="56" t="n"/>
      <c r="B305" s="74" t="n"/>
      <c r="C305" s="58" t="n"/>
      <c r="D305" s="56" t="n"/>
      <c r="E305" s="56" t="n"/>
      <c r="F305" s="56" t="n"/>
      <c r="G305" s="56" t="n"/>
      <c r="H305" s="56" t="n"/>
      <c r="I305" s="57" t="n"/>
      <c r="J305" s="56" t="n"/>
    </row>
    <row r="306" ht="15" customHeight="1" s="52">
      <c r="A306" s="61" t="n"/>
      <c r="B306" s="75" t="n"/>
      <c r="C306" s="63" t="n"/>
      <c r="D306" s="61" t="n"/>
      <c r="E306" s="61" t="n"/>
      <c r="F306" s="61" t="n"/>
      <c r="G306" s="61" t="n"/>
      <c r="H306" s="61" t="n"/>
      <c r="I306" s="62" t="n"/>
      <c r="J306" s="61" t="n"/>
    </row>
    <row r="307" ht="15" customHeight="1" s="52">
      <c r="A307" s="56" t="n"/>
      <c r="B307" s="74" t="n"/>
      <c r="C307" s="58" t="n"/>
      <c r="D307" s="56" t="n"/>
      <c r="E307" s="56" t="n"/>
      <c r="F307" s="56" t="n"/>
      <c r="G307" s="56" t="n"/>
      <c r="H307" s="56" t="n"/>
      <c r="I307" s="57" t="n"/>
      <c r="J307" s="56" t="n"/>
    </row>
    <row r="308" ht="15" customHeight="1" s="52">
      <c r="A308" s="61" t="n"/>
      <c r="B308" s="75" t="n"/>
      <c r="C308" s="63" t="n"/>
      <c r="D308" s="61" t="n"/>
      <c r="E308" s="61" t="n"/>
      <c r="F308" s="61" t="n"/>
      <c r="G308" s="61" t="n"/>
      <c r="H308" s="61" t="n"/>
      <c r="I308" s="62" t="n"/>
      <c r="J308" s="61" t="n"/>
    </row>
    <row r="309" ht="15" customHeight="1" s="52">
      <c r="A309" s="56" t="n"/>
      <c r="B309" s="74" t="n"/>
      <c r="C309" s="58" t="n"/>
      <c r="D309" s="56" t="n"/>
      <c r="E309" s="56" t="n"/>
      <c r="F309" s="56" t="n"/>
      <c r="G309" s="56" t="n"/>
      <c r="H309" s="56" t="n"/>
      <c r="I309" s="57" t="n"/>
      <c r="J309" s="56" t="n"/>
    </row>
    <row r="310" ht="15" customHeight="1" s="52">
      <c r="A310" s="61" t="n"/>
      <c r="B310" s="75" t="n"/>
      <c r="C310" s="63" t="n"/>
      <c r="D310" s="61" t="n"/>
      <c r="E310" s="61" t="n"/>
      <c r="F310" s="61" t="n"/>
      <c r="G310" s="61" t="n"/>
      <c r="H310" s="61" t="n"/>
      <c r="I310" s="62" t="n"/>
      <c r="J310" s="61" t="n"/>
    </row>
    <row r="311" ht="15" customHeight="1" s="52">
      <c r="A311" s="56" t="n"/>
      <c r="B311" s="74" t="n"/>
      <c r="C311" s="58" t="n"/>
      <c r="D311" s="56" t="n"/>
      <c r="E311" s="56" t="n"/>
      <c r="F311" s="56" t="n"/>
      <c r="G311" s="56" t="n"/>
      <c r="H311" s="56" t="n"/>
      <c r="I311" s="57" t="n"/>
      <c r="J311" s="56" t="n"/>
    </row>
    <row r="312" ht="15" customHeight="1" s="52">
      <c r="A312" s="61" t="n"/>
      <c r="B312" s="75" t="n"/>
      <c r="C312" s="63" t="n"/>
      <c r="D312" s="61" t="n"/>
      <c r="E312" s="61" t="n"/>
      <c r="F312" s="61" t="n"/>
      <c r="G312" s="61" t="n"/>
      <c r="H312" s="61" t="n"/>
      <c r="I312" s="62" t="n"/>
      <c r="J312" s="61" t="n"/>
    </row>
    <row r="313" ht="15" customHeight="1" s="52">
      <c r="A313" s="56" t="n"/>
      <c r="B313" s="74" t="n"/>
      <c r="C313" s="58" t="n"/>
      <c r="D313" s="56" t="n"/>
      <c r="E313" s="56" t="n"/>
      <c r="F313" s="56" t="n"/>
      <c r="G313" s="56" t="n"/>
      <c r="H313" s="56" t="n"/>
      <c r="I313" s="57" t="n"/>
      <c r="J313" s="56" t="n"/>
    </row>
    <row r="314" ht="15" customHeight="1" s="52">
      <c r="A314" s="61" t="n"/>
      <c r="B314" s="75" t="n"/>
      <c r="C314" s="63" t="n"/>
      <c r="D314" s="61" t="n"/>
      <c r="E314" s="61" t="n"/>
      <c r="F314" s="61" t="n"/>
      <c r="G314" s="61" t="n"/>
      <c r="H314" s="61" t="n"/>
      <c r="I314" s="62" t="n"/>
      <c r="J314" s="61" t="n"/>
    </row>
    <row r="315" ht="15" customHeight="1" s="52">
      <c r="A315" s="56" t="n"/>
      <c r="B315" s="74" t="n"/>
      <c r="C315" s="58" t="n"/>
      <c r="D315" s="56" t="n"/>
      <c r="E315" s="56" t="n"/>
      <c r="F315" s="56" t="n"/>
      <c r="G315" s="56" t="n"/>
      <c r="H315" s="56" t="n"/>
      <c r="I315" s="57" t="n"/>
      <c r="J315" s="56" t="n"/>
    </row>
    <row r="316" ht="15" customHeight="1" s="52">
      <c r="A316" s="61" t="n"/>
      <c r="B316" s="75" t="n"/>
      <c r="C316" s="63" t="n"/>
      <c r="D316" s="61" t="n"/>
      <c r="E316" s="61" t="n"/>
      <c r="F316" s="61" t="n"/>
      <c r="G316" s="61" t="n"/>
      <c r="H316" s="61" t="n"/>
      <c r="I316" s="62" t="n"/>
      <c r="J316" s="61" t="n"/>
    </row>
    <row r="317" ht="15" customHeight="1" s="52">
      <c r="A317" s="56" t="n"/>
      <c r="B317" s="74" t="n"/>
      <c r="C317" s="58" t="n"/>
      <c r="D317" s="56" t="n"/>
      <c r="E317" s="56" t="n"/>
      <c r="F317" s="56" t="n"/>
      <c r="G317" s="56" t="n"/>
      <c r="H317" s="56" t="n"/>
      <c r="I317" s="57" t="n"/>
      <c r="J317" s="56" t="n"/>
    </row>
    <row r="318" ht="15" customHeight="1" s="52">
      <c r="A318" s="61" t="n"/>
      <c r="B318" s="75" t="n"/>
      <c r="C318" s="63" t="n"/>
      <c r="D318" s="61" t="n"/>
      <c r="E318" s="61" t="n"/>
      <c r="F318" s="61" t="n"/>
      <c r="G318" s="61" t="n"/>
      <c r="H318" s="61" t="n"/>
      <c r="I318" s="62" t="n"/>
      <c r="J318" s="61" t="n"/>
    </row>
    <row r="319" ht="15" customHeight="1" s="52">
      <c r="A319" s="56" t="n"/>
      <c r="B319" s="74" t="n"/>
      <c r="C319" s="58" t="n"/>
      <c r="D319" s="56" t="n"/>
      <c r="E319" s="56" t="n"/>
      <c r="F319" s="56" t="n"/>
      <c r="G319" s="56" t="n"/>
      <c r="H319" s="56" t="n"/>
      <c r="I319" s="57" t="n"/>
      <c r="J319" s="56" t="n"/>
    </row>
    <row r="320" ht="15" customHeight="1" s="52">
      <c r="A320" s="61" t="n"/>
      <c r="B320" s="75" t="n"/>
      <c r="C320" s="63" t="n"/>
      <c r="D320" s="61" t="n"/>
      <c r="E320" s="61" t="n"/>
      <c r="F320" s="61" t="n"/>
      <c r="G320" s="61" t="n"/>
      <c r="H320" s="61" t="n"/>
      <c r="I320" s="62" t="n"/>
      <c r="J320" s="61" t="n"/>
    </row>
    <row r="321" ht="15" customHeight="1" s="52">
      <c r="A321" s="56" t="n"/>
      <c r="B321" s="74" t="n"/>
      <c r="C321" s="58" t="n"/>
      <c r="D321" s="56" t="n"/>
      <c r="E321" s="56" t="n"/>
      <c r="F321" s="56" t="n"/>
      <c r="G321" s="56" t="n"/>
      <c r="H321" s="56" t="n"/>
      <c r="I321" s="57" t="n"/>
      <c r="J321" s="56" t="n"/>
    </row>
    <row r="322" ht="15" customHeight="1" s="52">
      <c r="A322" s="61" t="n"/>
      <c r="B322" s="75" t="n"/>
      <c r="C322" s="63" t="n"/>
      <c r="D322" s="61" t="n"/>
      <c r="E322" s="61" t="n"/>
      <c r="F322" s="61" t="n"/>
      <c r="G322" s="61" t="n"/>
      <c r="H322" s="61" t="n"/>
      <c r="I322" s="62" t="n"/>
      <c r="J322" s="61" t="n"/>
    </row>
    <row r="323" ht="15" customHeight="1" s="52">
      <c r="A323" s="56" t="n"/>
      <c r="B323" s="74" t="n"/>
      <c r="C323" s="58" t="n"/>
      <c r="D323" s="56" t="n"/>
      <c r="E323" s="56" t="n"/>
      <c r="F323" s="56" t="n"/>
      <c r="G323" s="56" t="n"/>
      <c r="H323" s="56" t="n"/>
      <c r="I323" s="57" t="n"/>
      <c r="J323" s="56" t="n"/>
    </row>
    <row r="324" ht="15" customHeight="1" s="52">
      <c r="A324" s="61" t="n"/>
      <c r="B324" s="75" t="n"/>
      <c r="C324" s="63" t="n"/>
      <c r="D324" s="61" t="n"/>
      <c r="E324" s="61" t="n"/>
      <c r="F324" s="61" t="n"/>
      <c r="G324" s="61" t="n"/>
      <c r="H324" s="61" t="n"/>
      <c r="I324" s="62" t="n"/>
      <c r="J324" s="61" t="n"/>
    </row>
    <row r="325" ht="15" customHeight="1" s="52">
      <c r="A325" s="56" t="n"/>
      <c r="B325" s="74" t="n"/>
      <c r="C325" s="58" t="n"/>
      <c r="D325" s="56" t="n"/>
      <c r="E325" s="56" t="n"/>
      <c r="F325" s="56" t="n"/>
      <c r="G325" s="56" t="n"/>
      <c r="H325" s="56" t="n"/>
      <c r="I325" s="57" t="n"/>
      <c r="J325" s="56" t="n"/>
    </row>
    <row r="326" ht="15" customHeight="1" s="52">
      <c r="A326" s="61" t="n"/>
      <c r="B326" s="75" t="n"/>
      <c r="C326" s="63" t="n"/>
      <c r="D326" s="61" t="n"/>
      <c r="E326" s="61" t="n"/>
      <c r="F326" s="61" t="n"/>
      <c r="G326" s="61" t="n"/>
      <c r="H326" s="61" t="n"/>
      <c r="I326" s="62" t="n"/>
      <c r="J326" s="61" t="n"/>
    </row>
    <row r="327" ht="15" customHeight="1" s="52">
      <c r="A327" s="56" t="n"/>
      <c r="B327" s="74" t="n"/>
      <c r="C327" s="58" t="n"/>
      <c r="D327" s="56" t="n"/>
      <c r="E327" s="56" t="n"/>
      <c r="F327" s="56" t="n"/>
      <c r="G327" s="56" t="n"/>
      <c r="H327" s="56" t="n"/>
      <c r="I327" s="57" t="n"/>
      <c r="J327" s="56" t="n"/>
    </row>
    <row r="328" ht="15" customHeight="1" s="52">
      <c r="A328" s="61" t="n"/>
      <c r="B328" s="75" t="n"/>
      <c r="C328" s="63" t="n"/>
      <c r="D328" s="61" t="n"/>
      <c r="E328" s="61" t="n"/>
      <c r="F328" s="61" t="n"/>
      <c r="G328" s="61" t="n"/>
      <c r="H328" s="61" t="n"/>
      <c r="I328" s="62" t="n"/>
      <c r="J328" s="61" t="n"/>
    </row>
    <row r="329" ht="15" customHeight="1" s="52">
      <c r="A329" s="56" t="n"/>
      <c r="B329" s="74" t="n"/>
      <c r="C329" s="58" t="n"/>
      <c r="D329" s="56" t="n"/>
      <c r="E329" s="56" t="n"/>
      <c r="F329" s="56" t="n"/>
      <c r="G329" s="56" t="n"/>
      <c r="H329" s="56" t="n"/>
      <c r="I329" s="57" t="n"/>
      <c r="J329" s="56" t="n"/>
    </row>
    <row r="330" ht="15" customHeight="1" s="52">
      <c r="A330" s="61" t="n"/>
      <c r="B330" s="75" t="n"/>
      <c r="C330" s="63" t="n"/>
      <c r="D330" s="61" t="n"/>
      <c r="E330" s="61" t="n"/>
      <c r="F330" s="61" t="n"/>
      <c r="G330" s="61" t="n"/>
      <c r="H330" s="61" t="n"/>
      <c r="I330" s="62" t="n"/>
      <c r="J330" s="61" t="n"/>
    </row>
    <row r="331" ht="15" customHeight="1" s="52">
      <c r="A331" s="56" t="n"/>
      <c r="B331" s="74" t="n"/>
      <c r="C331" s="58" t="n"/>
      <c r="D331" s="56" t="n"/>
      <c r="E331" s="56" t="n"/>
      <c r="F331" s="56" t="n"/>
      <c r="G331" s="56" t="n"/>
      <c r="H331" s="56" t="n"/>
      <c r="I331" s="57" t="n"/>
      <c r="J331" s="56" t="n"/>
    </row>
    <row r="332" ht="15" customHeight="1" s="52">
      <c r="A332" s="61" t="n"/>
      <c r="B332" s="75" t="n"/>
      <c r="C332" s="63" t="n"/>
      <c r="D332" s="61" t="n"/>
      <c r="E332" s="61" t="n"/>
      <c r="F332" s="61" t="n"/>
      <c r="G332" s="61" t="n"/>
      <c r="H332" s="61" t="n"/>
      <c r="I332" s="62" t="n"/>
      <c r="J332" s="61" t="n"/>
    </row>
    <row r="333" ht="15" customHeight="1" s="52">
      <c r="A333" s="56" t="n"/>
      <c r="B333" s="74" t="n"/>
      <c r="C333" s="58" t="n"/>
      <c r="D333" s="56" t="n"/>
      <c r="E333" s="56" t="n"/>
      <c r="F333" s="56" t="n"/>
      <c r="G333" s="56" t="n"/>
      <c r="H333" s="56" t="n"/>
      <c r="I333" s="57" t="n"/>
      <c r="J333" s="56" t="n"/>
    </row>
    <row r="334" ht="15" customHeight="1" s="52">
      <c r="A334" s="61" t="n"/>
      <c r="B334" s="75" t="n"/>
      <c r="C334" s="63" t="n"/>
      <c r="D334" s="61" t="n"/>
      <c r="E334" s="61" t="n"/>
      <c r="F334" s="61" t="n"/>
      <c r="G334" s="61" t="n"/>
      <c r="H334" s="61" t="n"/>
      <c r="I334" s="62" t="n"/>
      <c r="J334" s="61" t="n"/>
    </row>
    <row r="335" ht="15" customHeight="1" s="52">
      <c r="A335" s="56" t="n"/>
      <c r="B335" s="74" t="n"/>
      <c r="C335" s="58" t="n"/>
      <c r="D335" s="56" t="n"/>
      <c r="E335" s="56" t="n"/>
      <c r="F335" s="56" t="n"/>
      <c r="G335" s="56" t="n"/>
      <c r="H335" s="56" t="n"/>
      <c r="I335" s="57" t="n"/>
      <c r="J335" s="56" t="n"/>
    </row>
    <row r="336" ht="15" customHeight="1" s="52">
      <c r="A336" s="61" t="n"/>
      <c r="B336" s="75" t="n"/>
      <c r="C336" s="63" t="n"/>
      <c r="D336" s="61" t="n"/>
      <c r="E336" s="61" t="n"/>
      <c r="F336" s="61" t="n"/>
      <c r="G336" s="61" t="n"/>
      <c r="H336" s="61" t="n"/>
      <c r="I336" s="62" t="n"/>
      <c r="J336" s="61" t="n"/>
    </row>
    <row r="337" ht="15" customHeight="1" s="52">
      <c r="A337" s="56" t="n"/>
      <c r="B337" s="74" t="n"/>
      <c r="C337" s="58" t="n"/>
      <c r="D337" s="56" t="n"/>
      <c r="E337" s="56" t="n"/>
      <c r="F337" s="56" t="n"/>
      <c r="G337" s="56" t="n"/>
      <c r="H337" s="56" t="n"/>
      <c r="I337" s="57" t="n"/>
      <c r="J337" s="56" t="n"/>
    </row>
    <row r="338" ht="15" customHeight="1" s="52">
      <c r="A338" s="61" t="n"/>
      <c r="B338" s="75" t="n"/>
      <c r="C338" s="63" t="n"/>
      <c r="D338" s="61" t="n"/>
      <c r="E338" s="61" t="n"/>
      <c r="F338" s="61" t="n"/>
      <c r="G338" s="61" t="n"/>
      <c r="H338" s="61" t="n"/>
      <c r="I338" s="62" t="n"/>
      <c r="J338" s="61" t="n"/>
    </row>
    <row r="339" ht="15" customHeight="1" s="52">
      <c r="A339" s="56" t="n"/>
      <c r="B339" s="74" t="n"/>
      <c r="C339" s="58" t="n"/>
      <c r="D339" s="56" t="n"/>
      <c r="E339" s="56" t="n"/>
      <c r="F339" s="56" t="n"/>
      <c r="G339" s="56" t="n"/>
      <c r="H339" s="56" t="n"/>
      <c r="I339" s="57" t="n"/>
      <c r="J339" s="56" t="n"/>
    </row>
    <row r="340" ht="15" customHeight="1" s="52">
      <c r="A340" s="61" t="n"/>
      <c r="B340" s="75" t="n"/>
      <c r="C340" s="63" t="n"/>
      <c r="D340" s="61" t="n"/>
      <c r="E340" s="61" t="n"/>
      <c r="F340" s="61" t="n"/>
      <c r="G340" s="61" t="n"/>
      <c r="H340" s="61" t="n"/>
      <c r="I340" s="62" t="n"/>
      <c r="J340" s="61" t="n"/>
    </row>
    <row r="341" ht="15" customHeight="1" s="52">
      <c r="A341" s="56" t="n"/>
      <c r="B341" s="74" t="n"/>
      <c r="C341" s="58" t="n"/>
      <c r="D341" s="56" t="n"/>
      <c r="E341" s="56" t="n"/>
      <c r="F341" s="56" t="n"/>
      <c r="G341" s="56" t="n"/>
      <c r="H341" s="56" t="n"/>
      <c r="I341" s="57" t="n"/>
      <c r="J341" s="56" t="n"/>
    </row>
    <row r="342" ht="15" customHeight="1" s="52">
      <c r="A342" s="61" t="n"/>
      <c r="B342" s="75" t="n"/>
      <c r="C342" s="63" t="n"/>
      <c r="D342" s="61" t="n"/>
      <c r="E342" s="61" t="n"/>
      <c r="F342" s="61" t="n"/>
      <c r="G342" s="61" t="n"/>
      <c r="H342" s="61" t="n"/>
      <c r="I342" s="62" t="n"/>
      <c r="J342" s="61" t="n"/>
    </row>
    <row r="343" ht="15" customHeight="1" s="52">
      <c r="A343" s="56" t="n"/>
      <c r="B343" s="74" t="n"/>
      <c r="C343" s="58" t="n"/>
      <c r="D343" s="56" t="n"/>
      <c r="E343" s="56" t="n"/>
      <c r="F343" s="56" t="n"/>
      <c r="G343" s="56" t="n"/>
      <c r="H343" s="56" t="n"/>
      <c r="I343" s="57" t="n"/>
      <c r="J343" s="56" t="n"/>
    </row>
    <row r="344" ht="15" customHeight="1" s="52">
      <c r="A344" s="61" t="n"/>
      <c r="B344" s="75" t="n"/>
      <c r="C344" s="63" t="n"/>
      <c r="D344" s="61" t="n"/>
      <c r="E344" s="61" t="n"/>
      <c r="F344" s="61" t="n"/>
      <c r="G344" s="61" t="n"/>
      <c r="H344" s="61" t="n"/>
      <c r="I344" s="62" t="n"/>
      <c r="J344" s="61" t="n"/>
    </row>
    <row r="345" ht="15" customHeight="1" s="52">
      <c r="A345" s="56" t="n"/>
      <c r="B345" s="74" t="n"/>
      <c r="C345" s="58" t="n"/>
      <c r="D345" s="56" t="n"/>
      <c r="E345" s="56" t="n"/>
      <c r="F345" s="56" t="n"/>
      <c r="G345" s="56" t="n"/>
      <c r="H345" s="56" t="n"/>
      <c r="I345" s="57" t="n"/>
      <c r="J345" s="56" t="n"/>
    </row>
    <row r="346" ht="15" customHeight="1" s="52">
      <c r="A346" s="61" t="n"/>
      <c r="B346" s="75" t="n"/>
      <c r="C346" s="63" t="n"/>
      <c r="D346" s="61" t="n"/>
      <c r="E346" s="61" t="n"/>
      <c r="F346" s="61" t="n"/>
      <c r="G346" s="61" t="n"/>
      <c r="H346" s="61" t="n"/>
      <c r="I346" s="62" t="n"/>
      <c r="J346" s="61" t="n"/>
    </row>
    <row r="347" ht="15" customHeight="1" s="52">
      <c r="A347" s="56" t="n"/>
      <c r="B347" s="74" t="n"/>
      <c r="C347" s="58" t="n"/>
      <c r="D347" s="56" t="n"/>
      <c r="E347" s="56" t="n"/>
      <c r="F347" s="56" t="n"/>
      <c r="G347" s="56" t="n"/>
      <c r="H347" s="56" t="n"/>
      <c r="I347" s="57" t="n"/>
      <c r="J347" s="56" t="n"/>
    </row>
    <row r="348" ht="15" customHeight="1" s="52">
      <c r="A348" s="61" t="n"/>
      <c r="B348" s="75" t="n"/>
      <c r="C348" s="63" t="n"/>
      <c r="D348" s="61" t="n"/>
      <c r="E348" s="61" t="n"/>
      <c r="F348" s="61" t="n"/>
      <c r="G348" s="61" t="n"/>
      <c r="H348" s="61" t="n"/>
      <c r="I348" s="62" t="n"/>
      <c r="J348" s="61" t="n"/>
    </row>
    <row r="349" ht="15" customHeight="1" s="52">
      <c r="A349" s="56" t="n"/>
      <c r="B349" s="74" t="n"/>
      <c r="C349" s="58" t="n"/>
      <c r="D349" s="56" t="n"/>
      <c r="E349" s="56" t="n"/>
      <c r="F349" s="56" t="n"/>
      <c r="G349" s="56" t="n"/>
      <c r="H349" s="56" t="n"/>
      <c r="I349" s="57" t="n"/>
      <c r="J349" s="56" t="n"/>
    </row>
    <row r="350" ht="15" customHeight="1" s="52">
      <c r="A350" s="61" t="n"/>
      <c r="B350" s="75" t="n"/>
      <c r="C350" s="63" t="n"/>
      <c r="D350" s="61" t="n"/>
      <c r="E350" s="61" t="n"/>
      <c r="F350" s="61" t="n"/>
      <c r="G350" s="61" t="n"/>
      <c r="H350" s="61" t="n"/>
      <c r="I350" s="62" t="n"/>
      <c r="J350" s="61" t="n"/>
    </row>
    <row r="351" ht="15" customHeight="1" s="52">
      <c r="A351" s="56" t="n"/>
      <c r="B351" s="74" t="n"/>
      <c r="C351" s="58" t="n"/>
      <c r="D351" s="56" t="n"/>
      <c r="E351" s="56" t="n"/>
      <c r="F351" s="56" t="n"/>
      <c r="G351" s="56" t="n"/>
      <c r="H351" s="56" t="n"/>
      <c r="I351" s="57" t="n"/>
      <c r="J351" s="56" t="n"/>
    </row>
    <row r="352" ht="15" customHeight="1" s="52">
      <c r="A352" s="61" t="n"/>
      <c r="B352" s="75" t="n"/>
      <c r="C352" s="63" t="n"/>
      <c r="D352" s="61" t="n"/>
      <c r="E352" s="61" t="n"/>
      <c r="F352" s="61" t="n"/>
      <c r="G352" s="61" t="n"/>
      <c r="H352" s="61" t="n"/>
      <c r="I352" s="62" t="n"/>
      <c r="J352" s="61" t="n"/>
    </row>
    <row r="353" ht="15" customHeight="1" s="52">
      <c r="A353" s="56" t="n"/>
      <c r="B353" s="74" t="n"/>
      <c r="C353" s="58" t="n"/>
      <c r="D353" s="56" t="n"/>
      <c r="E353" s="56" t="n"/>
      <c r="F353" s="56" t="n"/>
      <c r="G353" s="56" t="n"/>
      <c r="H353" s="56" t="n"/>
      <c r="I353" s="57" t="n"/>
      <c r="J353" s="56" t="n"/>
    </row>
    <row r="354" ht="15" customHeight="1" s="52">
      <c r="A354" s="61" t="n"/>
      <c r="B354" s="75" t="n"/>
      <c r="C354" s="63" t="n"/>
      <c r="D354" s="61" t="n"/>
      <c r="E354" s="61" t="n"/>
      <c r="F354" s="61" t="n"/>
      <c r="G354" s="61" t="n"/>
      <c r="H354" s="61" t="n"/>
      <c r="I354" s="62" t="n"/>
      <c r="J354" s="61" t="n"/>
    </row>
    <row r="355" ht="15" customHeight="1" s="52">
      <c r="A355" s="56" t="n"/>
      <c r="B355" s="74" t="n"/>
      <c r="C355" s="58" t="n"/>
      <c r="D355" s="56" t="n"/>
      <c r="E355" s="56" t="n"/>
      <c r="F355" s="56" t="n"/>
      <c r="G355" s="56" t="n"/>
      <c r="H355" s="56" t="n"/>
      <c r="I355" s="57" t="n"/>
      <c r="J355" s="56" t="n"/>
    </row>
    <row r="356" ht="15" customHeight="1" s="52">
      <c r="A356" s="61" t="n"/>
      <c r="B356" s="75" t="n"/>
      <c r="C356" s="63" t="n"/>
      <c r="D356" s="61" t="n"/>
      <c r="E356" s="61" t="n"/>
      <c r="F356" s="61" t="n"/>
      <c r="G356" s="61" t="n"/>
      <c r="H356" s="61" t="n"/>
      <c r="I356" s="62" t="n"/>
      <c r="J356" s="61" t="n"/>
    </row>
    <row r="357" ht="15" customHeight="1" s="52">
      <c r="A357" s="56" t="n"/>
      <c r="B357" s="74" t="n"/>
      <c r="C357" s="58" t="n"/>
      <c r="D357" s="56" t="n"/>
      <c r="E357" s="56" t="n"/>
      <c r="F357" s="56" t="n"/>
      <c r="G357" s="56" t="n"/>
      <c r="H357" s="56" t="n"/>
      <c r="I357" s="57" t="n"/>
      <c r="J357" s="56" t="n"/>
    </row>
    <row r="358" ht="15" customHeight="1" s="52">
      <c r="A358" s="61" t="n"/>
      <c r="B358" s="75" t="n"/>
      <c r="C358" s="63" t="n"/>
      <c r="D358" s="61" t="n"/>
      <c r="E358" s="61" t="n"/>
      <c r="F358" s="61" t="n"/>
      <c r="G358" s="61" t="n"/>
      <c r="H358" s="61" t="n"/>
      <c r="I358" s="62" t="n"/>
      <c r="J358" s="61" t="n"/>
    </row>
    <row r="359" ht="15" customHeight="1" s="52">
      <c r="A359" s="56" t="n"/>
      <c r="B359" s="74" t="n"/>
      <c r="C359" s="58" t="n"/>
      <c r="D359" s="56" t="n"/>
      <c r="E359" s="56" t="n"/>
      <c r="F359" s="56" t="n"/>
      <c r="G359" s="56" t="n"/>
      <c r="H359" s="56" t="n"/>
      <c r="I359" s="57" t="n"/>
      <c r="J359" s="56" t="n"/>
    </row>
    <row r="360" ht="15" customHeight="1" s="52">
      <c r="A360" s="61" t="n"/>
      <c r="B360" s="75" t="n"/>
      <c r="C360" s="63" t="n"/>
      <c r="D360" s="61" t="n"/>
      <c r="E360" s="61" t="n"/>
      <c r="F360" s="61" t="n"/>
      <c r="G360" s="61" t="n"/>
      <c r="H360" s="61" t="n"/>
      <c r="I360" s="62" t="n"/>
      <c r="J360" s="61" t="n"/>
    </row>
    <row r="361" ht="15" customHeight="1" s="52">
      <c r="A361" s="56" t="n"/>
      <c r="B361" s="74" t="n"/>
      <c r="C361" s="58" t="n"/>
      <c r="D361" s="56" t="n"/>
      <c r="E361" s="56" t="n"/>
      <c r="F361" s="56" t="n"/>
      <c r="G361" s="56" t="n"/>
      <c r="H361" s="56" t="n"/>
      <c r="I361" s="57" t="n"/>
      <c r="J361" s="56" t="n"/>
    </row>
    <row r="362" ht="15" customHeight="1" s="52">
      <c r="A362" s="61" t="n"/>
      <c r="B362" s="75" t="n"/>
      <c r="C362" s="63" t="n"/>
      <c r="D362" s="61" t="n"/>
      <c r="E362" s="61" t="n"/>
      <c r="F362" s="61" t="n"/>
      <c r="G362" s="61" t="n"/>
      <c r="H362" s="61" t="n"/>
      <c r="I362" s="62" t="n"/>
      <c r="J362" s="61" t="n"/>
    </row>
    <row r="363" ht="15" customHeight="1" s="52">
      <c r="A363" s="56" t="n"/>
      <c r="B363" s="74" t="n"/>
      <c r="C363" s="58" t="n"/>
      <c r="D363" s="56" t="n"/>
      <c r="E363" s="56" t="n"/>
      <c r="F363" s="56" t="n"/>
      <c r="G363" s="56" t="n"/>
      <c r="H363" s="56" t="n"/>
      <c r="I363" s="57" t="n"/>
      <c r="J363" s="56" t="n"/>
    </row>
    <row r="364" ht="15" customHeight="1" s="52">
      <c r="A364" s="61" t="n"/>
      <c r="B364" s="75" t="n"/>
      <c r="C364" s="63" t="n"/>
      <c r="D364" s="61" t="n"/>
      <c r="E364" s="61" t="n"/>
      <c r="F364" s="61" t="n"/>
      <c r="G364" s="61" t="n"/>
      <c r="H364" s="61" t="n"/>
      <c r="I364" s="62" t="n"/>
      <c r="J364" s="61" t="n"/>
    </row>
    <row r="365" ht="15" customHeight="1" s="52">
      <c r="A365" s="56" t="n"/>
      <c r="B365" s="74" t="n"/>
      <c r="C365" s="58" t="n"/>
      <c r="D365" s="56" t="n"/>
      <c r="E365" s="56" t="n"/>
      <c r="F365" s="56" t="n"/>
      <c r="G365" s="56" t="n"/>
      <c r="H365" s="56" t="n"/>
      <c r="I365" s="57" t="n"/>
      <c r="J365" s="56" t="n"/>
    </row>
    <row r="366" ht="15" customHeight="1" s="52">
      <c r="A366" s="61" t="n"/>
      <c r="B366" s="75" t="n"/>
      <c r="C366" s="63" t="n"/>
      <c r="D366" s="61" t="n"/>
      <c r="E366" s="61" t="n"/>
      <c r="F366" s="61" t="n"/>
      <c r="G366" s="61" t="n"/>
      <c r="H366" s="61" t="n"/>
      <c r="I366" s="62" t="n"/>
      <c r="J366" s="61" t="n"/>
    </row>
    <row r="367" ht="15" customHeight="1" s="52">
      <c r="A367" s="56" t="n"/>
      <c r="B367" s="74" t="n"/>
      <c r="C367" s="58" t="n"/>
      <c r="D367" s="56" t="n"/>
      <c r="E367" s="56" t="n"/>
      <c r="F367" s="56" t="n"/>
      <c r="G367" s="56" t="n"/>
      <c r="H367" s="56" t="n"/>
      <c r="I367" s="57" t="n"/>
      <c r="J367" s="56" t="n"/>
    </row>
    <row r="368" ht="15" customHeight="1" s="52">
      <c r="A368" s="61" t="n"/>
      <c r="B368" s="75" t="n"/>
      <c r="C368" s="63" t="n"/>
      <c r="D368" s="61" t="n"/>
      <c r="E368" s="61" t="n"/>
      <c r="F368" s="61" t="n"/>
      <c r="G368" s="61" t="n"/>
      <c r="H368" s="61" t="n"/>
      <c r="I368" s="62" t="n"/>
      <c r="J368" s="61" t="n"/>
    </row>
    <row r="369" ht="15" customHeight="1" s="52">
      <c r="A369" s="56" t="n"/>
      <c r="B369" s="74" t="n"/>
      <c r="C369" s="58" t="n"/>
      <c r="D369" s="56" t="n"/>
      <c r="E369" s="56" t="n"/>
      <c r="F369" s="56" t="n"/>
      <c r="G369" s="56" t="n"/>
      <c r="H369" s="56" t="n"/>
      <c r="I369" s="57" t="n"/>
      <c r="J369" s="56" t="n"/>
    </row>
    <row r="370" ht="15" customHeight="1" s="52">
      <c r="A370" s="61" t="n"/>
      <c r="B370" s="75" t="n"/>
      <c r="C370" s="63" t="n"/>
      <c r="D370" s="61" t="n"/>
      <c r="E370" s="61" t="n"/>
      <c r="F370" s="61" t="n"/>
      <c r="G370" s="61" t="n"/>
      <c r="H370" s="61" t="n"/>
      <c r="I370" s="62" t="n"/>
      <c r="J370" s="61" t="n"/>
    </row>
    <row r="371" ht="15" customHeight="1" s="52">
      <c r="A371" s="56" t="n"/>
      <c r="B371" s="74" t="n"/>
      <c r="C371" s="58" t="n"/>
      <c r="D371" s="56" t="n"/>
      <c r="E371" s="56" t="n"/>
      <c r="F371" s="56" t="n"/>
      <c r="G371" s="56" t="n"/>
      <c r="H371" s="56" t="n"/>
      <c r="I371" s="57" t="n"/>
      <c r="J371" s="56" t="n"/>
    </row>
    <row r="372" ht="15" customHeight="1" s="52">
      <c r="A372" s="61" t="n"/>
      <c r="B372" s="75" t="n"/>
      <c r="C372" s="63" t="n"/>
      <c r="D372" s="61" t="n"/>
      <c r="E372" s="61" t="n"/>
      <c r="F372" s="61" t="n"/>
      <c r="G372" s="61" t="n"/>
      <c r="H372" s="61" t="n"/>
      <c r="I372" s="62" t="n"/>
      <c r="J372" s="61" t="n"/>
    </row>
    <row r="373" ht="15" customHeight="1" s="52">
      <c r="A373" s="56" t="n"/>
      <c r="B373" s="74" t="n"/>
      <c r="C373" s="58" t="n"/>
      <c r="D373" s="56" t="n"/>
      <c r="E373" s="56" t="n"/>
      <c r="F373" s="56" t="n"/>
      <c r="G373" s="56" t="n"/>
      <c r="H373" s="56" t="n"/>
      <c r="I373" s="57" t="n"/>
      <c r="J373" s="56" t="n"/>
    </row>
    <row r="374" ht="15" customHeight="1" s="52">
      <c r="A374" s="61" t="n"/>
      <c r="B374" s="75" t="n"/>
      <c r="C374" s="63" t="n"/>
      <c r="D374" s="61" t="n"/>
      <c r="E374" s="61" t="n"/>
      <c r="F374" s="61" t="n"/>
      <c r="G374" s="61" t="n"/>
      <c r="H374" s="61" t="n"/>
      <c r="I374" s="62" t="n"/>
      <c r="J374" s="61" t="n"/>
    </row>
    <row r="375" ht="15" customHeight="1" s="52">
      <c r="A375" s="56" t="n"/>
      <c r="B375" s="74" t="n"/>
      <c r="C375" s="58" t="n"/>
      <c r="D375" s="56" t="n"/>
      <c r="E375" s="56" t="n"/>
      <c r="F375" s="56" t="n"/>
      <c r="G375" s="56" t="n"/>
      <c r="H375" s="56" t="n"/>
      <c r="I375" s="57" t="n"/>
      <c r="J375" s="56" t="n"/>
    </row>
    <row r="376" ht="15" customHeight="1" s="52">
      <c r="A376" s="61" t="n"/>
      <c r="B376" s="75" t="n"/>
      <c r="C376" s="63" t="n"/>
      <c r="D376" s="61" t="n"/>
      <c r="E376" s="61" t="n"/>
      <c r="F376" s="61" t="n"/>
      <c r="G376" s="61" t="n"/>
      <c r="H376" s="61" t="n"/>
      <c r="I376" s="62" t="n"/>
      <c r="J376" s="61" t="n"/>
    </row>
    <row r="377" ht="15" customHeight="1" s="52">
      <c r="A377" s="56" t="n"/>
      <c r="B377" s="74" t="n"/>
      <c r="C377" s="58" t="n"/>
      <c r="D377" s="56" t="n"/>
      <c r="E377" s="56" t="n"/>
      <c r="F377" s="56" t="n"/>
      <c r="G377" s="56" t="n"/>
      <c r="H377" s="56" t="n"/>
      <c r="I377" s="57" t="n"/>
      <c r="J377" s="56" t="n"/>
    </row>
    <row r="378" ht="15" customHeight="1" s="52">
      <c r="A378" s="61" t="n"/>
      <c r="B378" s="75" t="n"/>
      <c r="C378" s="63" t="n"/>
      <c r="D378" s="61" t="n"/>
      <c r="E378" s="61" t="n"/>
      <c r="F378" s="61" t="n"/>
      <c r="G378" s="61" t="n"/>
      <c r="H378" s="61" t="n"/>
      <c r="I378" s="62" t="n"/>
      <c r="J378" s="61" t="n"/>
    </row>
    <row r="379" ht="15" customHeight="1" s="52">
      <c r="A379" s="56" t="n"/>
      <c r="B379" s="74" t="n"/>
      <c r="C379" s="58" t="n"/>
      <c r="D379" s="56" t="n"/>
      <c r="E379" s="56" t="n"/>
      <c r="F379" s="56" t="n"/>
      <c r="G379" s="56" t="n"/>
      <c r="H379" s="56" t="n"/>
      <c r="I379" s="57" t="n"/>
      <c r="J379" s="56" t="n"/>
    </row>
    <row r="380" ht="15" customHeight="1" s="52">
      <c r="A380" s="61" t="n"/>
      <c r="B380" s="75" t="n"/>
      <c r="C380" s="63" t="n"/>
      <c r="D380" s="61" t="n"/>
      <c r="E380" s="61" t="n"/>
      <c r="F380" s="61" t="n"/>
      <c r="G380" s="61" t="n"/>
      <c r="H380" s="61" t="n"/>
      <c r="I380" s="62" t="n"/>
      <c r="J380" s="61" t="n"/>
    </row>
    <row r="381" ht="15" customHeight="1" s="52">
      <c r="A381" s="56" t="n"/>
      <c r="B381" s="74" t="n"/>
      <c r="C381" s="58" t="n"/>
      <c r="D381" s="56" t="n"/>
      <c r="E381" s="56" t="n"/>
      <c r="F381" s="56" t="n"/>
      <c r="G381" s="56" t="n"/>
      <c r="H381" s="56" t="n"/>
      <c r="I381" s="57" t="n"/>
      <c r="J381" s="56" t="n"/>
    </row>
    <row r="382" ht="15" customHeight="1" s="52">
      <c r="A382" s="61" t="n"/>
      <c r="B382" s="75" t="n"/>
      <c r="C382" s="63" t="n"/>
      <c r="D382" s="61" t="n"/>
      <c r="E382" s="61" t="n"/>
      <c r="F382" s="61" t="n"/>
      <c r="G382" s="61" t="n"/>
      <c r="H382" s="61" t="n"/>
      <c r="I382" s="62" t="n"/>
      <c r="J382" s="61" t="n"/>
    </row>
    <row r="383" ht="15" customHeight="1" s="52">
      <c r="A383" s="56" t="n"/>
      <c r="B383" s="74" t="n"/>
      <c r="C383" s="58" t="n"/>
      <c r="D383" s="56" t="n"/>
      <c r="E383" s="56" t="n"/>
      <c r="F383" s="56" t="n"/>
      <c r="G383" s="56" t="n"/>
      <c r="H383" s="56" t="n"/>
      <c r="I383" s="57" t="n"/>
      <c r="J383" s="56" t="n"/>
    </row>
    <row r="384" ht="15" customHeight="1" s="52">
      <c r="A384" s="61" t="n"/>
      <c r="B384" s="75" t="n"/>
      <c r="C384" s="63" t="n"/>
      <c r="D384" s="61" t="n"/>
      <c r="E384" s="61" t="n"/>
      <c r="F384" s="61" t="n"/>
      <c r="G384" s="61" t="n"/>
      <c r="H384" s="61" t="n"/>
      <c r="I384" s="62" t="n"/>
      <c r="J384" s="61" t="n"/>
    </row>
    <row r="385" ht="15" customHeight="1" s="52">
      <c r="A385" s="56" t="n"/>
      <c r="B385" s="74" t="n"/>
      <c r="C385" s="58" t="n"/>
      <c r="D385" s="56" t="n"/>
      <c r="E385" s="56" t="n"/>
      <c r="F385" s="56" t="n"/>
      <c r="G385" s="56" t="n"/>
      <c r="H385" s="56" t="n"/>
      <c r="I385" s="57" t="n"/>
      <c r="J385" s="56" t="n"/>
    </row>
    <row r="386" ht="15" customHeight="1" s="52">
      <c r="A386" s="61" t="n"/>
      <c r="B386" s="75" t="n"/>
      <c r="C386" s="63" t="n"/>
      <c r="D386" s="61" t="n"/>
      <c r="E386" s="61" t="n"/>
      <c r="F386" s="61" t="n"/>
      <c r="G386" s="61" t="n"/>
      <c r="H386" s="61" t="n"/>
      <c r="I386" s="62" t="n"/>
      <c r="J386" s="61" t="n"/>
    </row>
    <row r="387" ht="15" customHeight="1" s="52">
      <c r="A387" s="56" t="n"/>
      <c r="B387" s="74" t="n"/>
      <c r="C387" s="58" t="n"/>
      <c r="D387" s="56" t="n"/>
      <c r="E387" s="56" t="n"/>
      <c r="F387" s="56" t="n"/>
      <c r="G387" s="56" t="n"/>
      <c r="H387" s="56" t="n"/>
      <c r="I387" s="57" t="n"/>
      <c r="J387" s="56" t="n"/>
    </row>
    <row r="388" ht="15" customHeight="1" s="52">
      <c r="A388" s="61" t="n"/>
      <c r="B388" s="75" t="n"/>
      <c r="C388" s="63" t="n"/>
      <c r="D388" s="61" t="n"/>
      <c r="E388" s="61" t="n"/>
      <c r="F388" s="61" t="n"/>
      <c r="G388" s="61" t="n"/>
      <c r="H388" s="61" t="n"/>
      <c r="I388" s="62" t="n"/>
      <c r="J388" s="61" t="n"/>
    </row>
    <row r="389" ht="15" customHeight="1" s="52">
      <c r="A389" s="56" t="n"/>
      <c r="B389" s="74" t="n"/>
      <c r="C389" s="58" t="n"/>
      <c r="D389" s="56" t="n"/>
      <c r="E389" s="56" t="n"/>
      <c r="F389" s="56" t="n"/>
      <c r="G389" s="56" t="n"/>
      <c r="H389" s="56" t="n"/>
      <c r="I389" s="57" t="n"/>
      <c r="J389" s="56" t="n"/>
    </row>
    <row r="390" ht="15" customHeight="1" s="52">
      <c r="A390" s="61" t="n"/>
      <c r="B390" s="75" t="n"/>
      <c r="C390" s="63" t="n"/>
      <c r="D390" s="61" t="n"/>
      <c r="E390" s="61" t="n"/>
      <c r="F390" s="61" t="n"/>
      <c r="G390" s="61" t="n"/>
      <c r="H390" s="61" t="n"/>
      <c r="I390" s="62" t="n"/>
      <c r="J390" s="61" t="n"/>
    </row>
    <row r="391" ht="15" customHeight="1" s="52">
      <c r="A391" s="56" t="n"/>
      <c r="B391" s="74" t="n"/>
      <c r="C391" s="58" t="n"/>
      <c r="D391" s="56" t="n"/>
      <c r="E391" s="56" t="n"/>
      <c r="F391" s="56" t="n"/>
      <c r="G391" s="56" t="n"/>
      <c r="H391" s="56" t="n"/>
      <c r="I391" s="57" t="n"/>
      <c r="J391" s="56" t="n"/>
    </row>
    <row r="392" ht="15" customHeight="1" s="52">
      <c r="A392" s="61" t="n"/>
      <c r="B392" s="75" t="n"/>
      <c r="C392" s="63" t="n"/>
      <c r="D392" s="61" t="n"/>
      <c r="E392" s="61" t="n"/>
      <c r="F392" s="61" t="n"/>
      <c r="G392" s="61" t="n"/>
      <c r="H392" s="61" t="n"/>
      <c r="I392" s="62" t="n"/>
      <c r="J392" s="61" t="n"/>
    </row>
    <row r="393" ht="15" customHeight="1" s="52">
      <c r="A393" s="56" t="n"/>
      <c r="B393" s="74" t="n"/>
      <c r="C393" s="58" t="n"/>
      <c r="D393" s="56" t="n"/>
      <c r="E393" s="56" t="n"/>
      <c r="F393" s="56" t="n"/>
      <c r="G393" s="56" t="n"/>
      <c r="H393" s="56" t="n"/>
      <c r="I393" s="57" t="n"/>
      <c r="J393" s="56" t="n"/>
    </row>
    <row r="394" ht="15" customHeight="1" s="52">
      <c r="A394" s="61" t="n"/>
      <c r="B394" s="75" t="n"/>
      <c r="C394" s="63" t="n"/>
      <c r="D394" s="61" t="n"/>
      <c r="E394" s="61" t="n"/>
      <c r="F394" s="61" t="n"/>
      <c r="G394" s="61" t="n"/>
      <c r="H394" s="61" t="n"/>
      <c r="I394" s="62" t="n"/>
      <c r="J394" s="61" t="n"/>
    </row>
    <row r="395" ht="15" customHeight="1" s="52">
      <c r="A395" s="56" t="n"/>
      <c r="B395" s="74" t="n"/>
      <c r="C395" s="58" t="n"/>
      <c r="D395" s="56" t="n"/>
      <c r="E395" s="56" t="n"/>
      <c r="F395" s="56" t="n"/>
      <c r="G395" s="56" t="n"/>
      <c r="H395" s="56" t="n"/>
      <c r="I395" s="57" t="n"/>
      <c r="J395" s="56" t="n"/>
    </row>
    <row r="396" ht="15" customHeight="1" s="52">
      <c r="A396" s="61" t="n"/>
      <c r="B396" s="75" t="n"/>
      <c r="C396" s="63" t="n"/>
      <c r="D396" s="61" t="n"/>
      <c r="E396" s="61" t="n"/>
      <c r="F396" s="61" t="n"/>
      <c r="G396" s="61" t="n"/>
      <c r="H396" s="61" t="n"/>
      <c r="I396" s="62" t="n"/>
      <c r="J396" s="61" t="n"/>
    </row>
    <row r="397" ht="15" customHeight="1" s="52">
      <c r="A397" s="56" t="n"/>
      <c r="B397" s="74" t="n"/>
      <c r="C397" s="58" t="n"/>
      <c r="D397" s="56" t="n"/>
      <c r="E397" s="56" t="n"/>
      <c r="F397" s="56" t="n"/>
      <c r="G397" s="56" t="n"/>
      <c r="H397" s="56" t="n"/>
      <c r="I397" s="57" t="n"/>
      <c r="J397" s="56" t="n"/>
    </row>
    <row r="398" ht="15" customHeight="1" s="52">
      <c r="A398" s="61" t="n"/>
      <c r="B398" s="75" t="n"/>
      <c r="C398" s="63" t="n"/>
      <c r="D398" s="61" t="n"/>
      <c r="E398" s="61" t="n"/>
      <c r="F398" s="61" t="n"/>
      <c r="G398" s="61" t="n"/>
      <c r="H398" s="61" t="n"/>
      <c r="I398" s="62" t="n"/>
      <c r="J398" s="61" t="n"/>
    </row>
    <row r="399" ht="15" customHeight="1" s="52">
      <c r="A399" s="56" t="n"/>
      <c r="B399" s="74" t="n"/>
      <c r="C399" s="58" t="n"/>
      <c r="D399" s="56" t="n"/>
      <c r="E399" s="56" t="n"/>
      <c r="F399" s="56" t="n"/>
      <c r="G399" s="56" t="n"/>
      <c r="H399" s="56" t="n"/>
      <c r="I399" s="57" t="n"/>
      <c r="J399" s="56" t="n"/>
    </row>
    <row r="400" ht="15" customHeight="1" s="52">
      <c r="A400" s="61" t="n"/>
      <c r="B400" s="75" t="n"/>
      <c r="C400" s="63" t="n"/>
      <c r="D400" s="61" t="n"/>
      <c r="E400" s="61" t="n"/>
      <c r="F400" s="61" t="n"/>
      <c r="G400" s="61" t="n"/>
      <c r="H400" s="61" t="n"/>
      <c r="I400" s="62" t="n"/>
      <c r="J400" s="61" t="n"/>
    </row>
    <row r="401" ht="15" customHeight="1" s="52">
      <c r="A401" s="56" t="n"/>
      <c r="B401" s="74" t="n"/>
      <c r="C401" s="58" t="n"/>
      <c r="D401" s="56" t="n"/>
      <c r="E401" s="56" t="n"/>
      <c r="F401" s="56" t="n"/>
      <c r="G401" s="56" t="n"/>
      <c r="H401" s="56" t="n"/>
      <c r="I401" s="57" t="n"/>
      <c r="J401" s="56" t="n"/>
    </row>
    <row r="402" ht="15" customHeight="1" s="52">
      <c r="A402" s="61" t="n"/>
      <c r="B402" s="75" t="n"/>
      <c r="C402" s="63" t="n"/>
      <c r="D402" s="61" t="n"/>
      <c r="E402" s="61" t="n"/>
      <c r="F402" s="61" t="n"/>
      <c r="G402" s="61" t="n"/>
      <c r="H402" s="61" t="n"/>
      <c r="I402" s="62" t="n"/>
      <c r="J402" s="61" t="n"/>
    </row>
    <row r="403" ht="15" customHeight="1" s="52">
      <c r="A403" s="56" t="n"/>
      <c r="B403" s="74" t="n"/>
      <c r="C403" s="58" t="n"/>
      <c r="D403" s="56" t="n"/>
      <c r="E403" s="56" t="n"/>
      <c r="F403" s="56" t="n"/>
      <c r="G403" s="56" t="n"/>
      <c r="H403" s="56" t="n"/>
      <c r="I403" s="57" t="n"/>
      <c r="J403" s="56" t="n"/>
    </row>
    <row r="404" ht="15" customHeight="1" s="52">
      <c r="A404" s="61" t="n"/>
      <c r="B404" s="75" t="n"/>
      <c r="C404" s="63" t="n"/>
      <c r="D404" s="61" t="n"/>
      <c r="E404" s="61" t="n"/>
      <c r="F404" s="61" t="n"/>
      <c r="G404" s="61" t="n"/>
      <c r="H404" s="61" t="n"/>
      <c r="I404" s="62" t="n"/>
      <c r="J404" s="61" t="n"/>
    </row>
    <row r="405" ht="15" customHeight="1" s="52">
      <c r="A405" s="56" t="n"/>
      <c r="B405" s="74" t="n"/>
      <c r="C405" s="58" t="n"/>
      <c r="D405" s="56" t="n"/>
      <c r="E405" s="56" t="n"/>
      <c r="F405" s="56" t="n"/>
      <c r="G405" s="56" t="n"/>
      <c r="H405" s="56" t="n"/>
      <c r="I405" s="57" t="n"/>
      <c r="J405" s="56" t="n"/>
    </row>
    <row r="406" ht="15" customHeight="1" s="52">
      <c r="A406" s="61" t="n"/>
      <c r="B406" s="75" t="n"/>
      <c r="C406" s="63" t="n"/>
      <c r="D406" s="61" t="n"/>
      <c r="E406" s="61" t="n"/>
      <c r="F406" s="61" t="n"/>
      <c r="G406" s="61" t="n"/>
      <c r="H406" s="61" t="n"/>
      <c r="I406" s="62" t="n"/>
      <c r="J406" s="61" t="n"/>
    </row>
    <row r="407" ht="15" customHeight="1" s="52">
      <c r="A407" s="56" t="n"/>
      <c r="B407" s="74" t="n"/>
      <c r="C407" s="58" t="n"/>
      <c r="D407" s="56" t="n"/>
      <c r="E407" s="56" t="n"/>
      <c r="F407" s="56" t="n"/>
      <c r="G407" s="56" t="n"/>
      <c r="H407" s="56" t="n"/>
      <c r="I407" s="57" t="n"/>
      <c r="J407" s="56" t="n"/>
    </row>
    <row r="408" ht="15" customHeight="1" s="52">
      <c r="A408" s="61" t="n"/>
      <c r="B408" s="75" t="n"/>
      <c r="C408" s="63" t="n"/>
      <c r="D408" s="61" t="n"/>
      <c r="E408" s="61" t="n"/>
      <c r="F408" s="61" t="n"/>
      <c r="G408" s="61" t="n"/>
      <c r="H408" s="61" t="n"/>
      <c r="I408" s="62" t="n"/>
      <c r="J408" s="61" t="n"/>
    </row>
    <row r="409" ht="15" customHeight="1" s="52">
      <c r="A409" s="56" t="n"/>
      <c r="B409" s="74" t="n"/>
      <c r="C409" s="58" t="n"/>
      <c r="D409" s="56" t="n"/>
      <c r="E409" s="56" t="n"/>
      <c r="F409" s="56" t="n"/>
      <c r="G409" s="56" t="n"/>
      <c r="H409" s="56" t="n"/>
      <c r="I409" s="57" t="n"/>
      <c r="J409" s="56" t="n"/>
    </row>
    <row r="410" ht="15" customHeight="1" s="52">
      <c r="A410" s="61" t="n"/>
      <c r="B410" s="75" t="n"/>
      <c r="C410" s="63" t="n"/>
      <c r="D410" s="61" t="n"/>
      <c r="E410" s="61" t="n"/>
      <c r="F410" s="61" t="n"/>
      <c r="G410" s="61" t="n"/>
      <c r="H410" s="61" t="n"/>
      <c r="I410" s="62" t="n"/>
      <c r="J410" s="61" t="n"/>
    </row>
    <row r="411" ht="15" customHeight="1" s="52">
      <c r="A411" s="56" t="n"/>
      <c r="B411" s="74" t="n"/>
      <c r="C411" s="58" t="n"/>
      <c r="D411" s="56" t="n"/>
      <c r="E411" s="56" t="n"/>
      <c r="F411" s="56" t="n"/>
      <c r="G411" s="56" t="n"/>
      <c r="H411" s="56" t="n"/>
      <c r="I411" s="57" t="n"/>
      <c r="J411" s="56" t="n"/>
    </row>
    <row r="412" ht="15" customHeight="1" s="52">
      <c r="A412" s="61" t="n"/>
      <c r="B412" s="75" t="n"/>
      <c r="C412" s="63" t="n"/>
      <c r="D412" s="61" t="n"/>
      <c r="E412" s="61" t="n"/>
      <c r="F412" s="61" t="n"/>
      <c r="G412" s="61" t="n"/>
      <c r="H412" s="61" t="n"/>
      <c r="I412" s="62" t="n"/>
      <c r="J412" s="61" t="n"/>
    </row>
    <row r="413" ht="15" customHeight="1" s="52">
      <c r="A413" s="56" t="n"/>
      <c r="B413" s="74" t="n"/>
      <c r="C413" s="58" t="n"/>
      <c r="D413" s="56" t="n"/>
      <c r="E413" s="56" t="n"/>
      <c r="F413" s="56" t="n"/>
      <c r="G413" s="56" t="n"/>
      <c r="H413" s="56" t="n"/>
      <c r="I413" s="57" t="n"/>
      <c r="J413" s="56" t="n"/>
    </row>
    <row r="414" ht="15" customHeight="1" s="52">
      <c r="A414" s="61" t="n"/>
      <c r="B414" s="75" t="n"/>
      <c r="C414" s="63" t="n"/>
      <c r="D414" s="61" t="n"/>
      <c r="E414" s="61" t="n"/>
      <c r="F414" s="61" t="n"/>
      <c r="G414" s="61" t="n"/>
      <c r="H414" s="61" t="n"/>
      <c r="I414" s="62" t="n"/>
      <c r="J414" s="61" t="n"/>
    </row>
    <row r="415" ht="15" customHeight="1" s="52">
      <c r="A415" s="56" t="n"/>
      <c r="B415" s="74" t="n"/>
      <c r="C415" s="58" t="n"/>
      <c r="D415" s="56" t="n"/>
      <c r="E415" s="56" t="n"/>
      <c r="F415" s="56" t="n"/>
      <c r="G415" s="56" t="n"/>
      <c r="H415" s="56" t="n"/>
      <c r="I415" s="57" t="n"/>
      <c r="J415" s="56" t="n"/>
    </row>
    <row r="416" ht="15" customHeight="1" s="52">
      <c r="A416" s="61" t="n"/>
      <c r="B416" s="75" t="n"/>
      <c r="C416" s="63" t="n"/>
      <c r="D416" s="61" t="n"/>
      <c r="E416" s="61" t="n"/>
      <c r="F416" s="61" t="n"/>
      <c r="G416" s="61" t="n"/>
      <c r="H416" s="61" t="n"/>
      <c r="I416" s="62" t="n"/>
      <c r="J416" s="61" t="n"/>
    </row>
    <row r="417" ht="15" customHeight="1" s="52">
      <c r="A417" s="56" t="n"/>
      <c r="B417" s="74" t="n"/>
      <c r="C417" s="58" t="n"/>
      <c r="D417" s="56" t="n"/>
      <c r="E417" s="56" t="n"/>
      <c r="F417" s="56" t="n"/>
      <c r="G417" s="56" t="n"/>
      <c r="H417" s="56" t="n"/>
      <c r="I417" s="57" t="n"/>
      <c r="J417" s="56" t="n"/>
    </row>
    <row r="418" ht="15" customHeight="1" s="52">
      <c r="A418" s="61" t="n"/>
      <c r="B418" s="75" t="n"/>
      <c r="C418" s="63" t="n"/>
      <c r="D418" s="61" t="n"/>
      <c r="E418" s="61" t="n"/>
      <c r="F418" s="61" t="n"/>
      <c r="G418" s="61" t="n"/>
      <c r="H418" s="61" t="n"/>
      <c r="I418" s="62" t="n"/>
      <c r="J418" s="61" t="n"/>
    </row>
    <row r="419" ht="15" customHeight="1" s="52">
      <c r="A419" s="56" t="n"/>
      <c r="B419" s="74" t="n"/>
      <c r="C419" s="58" t="n"/>
      <c r="D419" s="56" t="n"/>
      <c r="E419" s="56" t="n"/>
      <c r="F419" s="56" t="n"/>
      <c r="G419" s="56" t="n"/>
      <c r="H419" s="56" t="n"/>
      <c r="I419" s="57" t="n"/>
      <c r="J419" s="56" t="n"/>
    </row>
    <row r="420" ht="15" customHeight="1" s="52">
      <c r="A420" s="61" t="n"/>
      <c r="B420" s="75" t="n"/>
      <c r="C420" s="63" t="n"/>
      <c r="D420" s="61" t="n"/>
      <c r="E420" s="61" t="n"/>
      <c r="F420" s="61" t="n"/>
      <c r="G420" s="61" t="n"/>
      <c r="H420" s="61" t="n"/>
      <c r="I420" s="62" t="n"/>
      <c r="J420" s="61" t="n"/>
    </row>
    <row r="421" ht="15" customHeight="1" s="52">
      <c r="A421" s="56" t="n"/>
      <c r="B421" s="74" t="n"/>
      <c r="C421" s="58" t="n"/>
      <c r="D421" s="56" t="n"/>
      <c r="E421" s="56" t="n"/>
      <c r="F421" s="56" t="n"/>
      <c r="G421" s="56" t="n"/>
      <c r="H421" s="56" t="n"/>
      <c r="I421" s="57" t="n"/>
      <c r="J421" s="56" t="n"/>
    </row>
    <row r="422" ht="15" customHeight="1" s="52">
      <c r="A422" s="61" t="n"/>
      <c r="B422" s="75" t="n"/>
      <c r="C422" s="63" t="n"/>
      <c r="D422" s="61" t="n"/>
      <c r="E422" s="61" t="n"/>
      <c r="F422" s="61" t="n"/>
      <c r="G422" s="61" t="n"/>
      <c r="H422" s="61" t="n"/>
      <c r="I422" s="62" t="n"/>
      <c r="J422" s="61" t="n"/>
    </row>
    <row r="423" ht="15" customHeight="1" s="52">
      <c r="A423" s="56" t="n"/>
      <c r="B423" s="74" t="n"/>
      <c r="C423" s="58" t="n"/>
      <c r="D423" s="56" t="n"/>
      <c r="E423" s="56" t="n"/>
      <c r="F423" s="56" t="n"/>
      <c r="G423" s="56" t="n"/>
      <c r="H423" s="56" t="n"/>
      <c r="I423" s="57" t="n"/>
      <c r="J423" s="56" t="n"/>
    </row>
    <row r="424" ht="15" customHeight="1" s="52">
      <c r="A424" s="61" t="n"/>
      <c r="B424" s="75" t="n"/>
      <c r="C424" s="63" t="n"/>
      <c r="D424" s="61" t="n"/>
      <c r="E424" s="61" t="n"/>
      <c r="F424" s="61" t="n"/>
      <c r="G424" s="61" t="n"/>
      <c r="H424" s="61" t="n"/>
      <c r="I424" s="62" t="n"/>
      <c r="J424" s="61" t="n"/>
    </row>
    <row r="425" ht="15" customHeight="1" s="52">
      <c r="A425" s="56" t="n"/>
      <c r="B425" s="74" t="n"/>
      <c r="C425" s="58" t="n"/>
      <c r="D425" s="56" t="n"/>
      <c r="E425" s="56" t="n"/>
      <c r="F425" s="56" t="n"/>
      <c r="G425" s="56" t="n"/>
      <c r="H425" s="56" t="n"/>
      <c r="I425" s="57" t="n"/>
      <c r="J425" s="56" t="n"/>
    </row>
    <row r="426" ht="15" customHeight="1" s="52">
      <c r="A426" s="61" t="n"/>
      <c r="B426" s="75" t="n"/>
      <c r="C426" s="63" t="n"/>
      <c r="D426" s="61" t="n"/>
      <c r="E426" s="61" t="n"/>
      <c r="F426" s="61" t="n"/>
      <c r="G426" s="61" t="n"/>
      <c r="H426" s="61" t="n"/>
      <c r="I426" s="62" t="n"/>
      <c r="J426" s="61" t="n"/>
    </row>
    <row r="427" ht="15" customHeight="1" s="52">
      <c r="A427" s="56" t="n"/>
      <c r="B427" s="74" t="n"/>
      <c r="C427" s="58" t="n"/>
      <c r="D427" s="56" t="n"/>
      <c r="E427" s="56" t="n"/>
      <c r="F427" s="56" t="n"/>
      <c r="G427" s="56" t="n"/>
      <c r="H427" s="56" t="n"/>
      <c r="I427" s="57" t="n"/>
      <c r="J427" s="56" t="n"/>
    </row>
    <row r="428" ht="15" customHeight="1" s="52">
      <c r="A428" s="61" t="n"/>
      <c r="B428" s="75" t="n"/>
      <c r="C428" s="63" t="n"/>
      <c r="D428" s="61" t="n"/>
      <c r="E428" s="61" t="n"/>
      <c r="F428" s="61" t="n"/>
      <c r="G428" s="61" t="n"/>
      <c r="H428" s="61" t="n"/>
      <c r="I428" s="62" t="n"/>
      <c r="J428" s="61" t="n"/>
    </row>
    <row r="429" ht="15" customHeight="1" s="52">
      <c r="A429" s="56" t="n"/>
      <c r="B429" s="74" t="n"/>
      <c r="C429" s="58" t="n"/>
      <c r="D429" s="56" t="n"/>
      <c r="E429" s="56" t="n"/>
      <c r="F429" s="56" t="n"/>
      <c r="G429" s="56" t="n"/>
      <c r="H429" s="56" t="n"/>
      <c r="I429" s="57" t="n"/>
      <c r="J429" s="56" t="n"/>
    </row>
    <row r="430" ht="15" customHeight="1" s="52">
      <c r="A430" s="61" t="n"/>
      <c r="B430" s="75" t="n"/>
      <c r="C430" s="63" t="n"/>
      <c r="D430" s="61" t="n"/>
      <c r="E430" s="61" t="n"/>
      <c r="F430" s="61" t="n"/>
      <c r="G430" s="61" t="n"/>
      <c r="H430" s="61" t="n"/>
      <c r="I430" s="62" t="n"/>
      <c r="J430" s="61" t="n"/>
    </row>
    <row r="431" ht="15" customHeight="1" s="52">
      <c r="A431" s="56" t="n"/>
      <c r="B431" s="74" t="n"/>
      <c r="C431" s="58" t="n"/>
      <c r="D431" s="56" t="n"/>
      <c r="E431" s="56" t="n"/>
      <c r="F431" s="56" t="n"/>
      <c r="G431" s="56" t="n"/>
      <c r="H431" s="56" t="n"/>
      <c r="I431" s="57" t="n"/>
      <c r="J431" s="56" t="n"/>
    </row>
    <row r="432" ht="15" customHeight="1" s="52">
      <c r="A432" s="61" t="n"/>
      <c r="B432" s="75" t="n"/>
      <c r="C432" s="63" t="n"/>
      <c r="D432" s="61" t="n"/>
      <c r="E432" s="61" t="n"/>
      <c r="F432" s="61" t="n"/>
      <c r="G432" s="61" t="n"/>
      <c r="H432" s="61" t="n"/>
      <c r="I432" s="62" t="n"/>
      <c r="J432" s="61" t="n"/>
    </row>
    <row r="433" ht="15" customHeight="1" s="52">
      <c r="A433" s="56" t="n"/>
      <c r="B433" s="74" t="n"/>
      <c r="C433" s="58" t="n"/>
      <c r="D433" s="56" t="n"/>
      <c r="E433" s="56" t="n"/>
      <c r="F433" s="56" t="n"/>
      <c r="G433" s="56" t="n"/>
      <c r="H433" s="56" t="n"/>
      <c r="I433" s="57" t="n"/>
      <c r="J433" s="56" t="n"/>
    </row>
    <row r="434" ht="15" customHeight="1" s="52">
      <c r="A434" s="61" t="n"/>
      <c r="B434" s="75" t="n"/>
      <c r="C434" s="63" t="n"/>
      <c r="D434" s="61" t="n"/>
      <c r="E434" s="61" t="n"/>
      <c r="F434" s="61" t="n"/>
      <c r="G434" s="61" t="n"/>
      <c r="H434" s="61" t="n"/>
      <c r="I434" s="62" t="n"/>
      <c r="J434" s="61" t="n"/>
    </row>
    <row r="435" ht="15" customHeight="1" s="52">
      <c r="A435" s="56" t="n"/>
      <c r="B435" s="74" t="n"/>
      <c r="C435" s="58" t="n"/>
      <c r="D435" s="56" t="n"/>
      <c r="E435" s="56" t="n"/>
      <c r="F435" s="56" t="n"/>
      <c r="G435" s="56" t="n"/>
      <c r="H435" s="56" t="n"/>
      <c r="I435" s="57" t="n"/>
      <c r="J435" s="56" t="n"/>
    </row>
    <row r="436" ht="15" customHeight="1" s="52">
      <c r="A436" s="61" t="n"/>
      <c r="B436" s="75" t="n"/>
      <c r="C436" s="63" t="n"/>
      <c r="D436" s="61" t="n"/>
      <c r="E436" s="61" t="n"/>
      <c r="F436" s="61" t="n"/>
      <c r="G436" s="61" t="n"/>
      <c r="H436" s="61" t="n"/>
      <c r="I436" s="62" t="n"/>
      <c r="J436" s="61" t="n"/>
    </row>
    <row r="437" ht="15" customHeight="1" s="52">
      <c r="A437" s="56" t="n"/>
      <c r="B437" s="74" t="n"/>
      <c r="C437" s="58" t="n"/>
      <c r="D437" s="56" t="n"/>
      <c r="E437" s="56" t="n"/>
      <c r="F437" s="56" t="n"/>
      <c r="G437" s="56" t="n"/>
      <c r="H437" s="56" t="n"/>
      <c r="I437" s="57" t="n"/>
      <c r="J437" s="56" t="n"/>
    </row>
    <row r="438" ht="15" customHeight="1" s="52">
      <c r="A438" s="61" t="n"/>
      <c r="B438" s="75" t="n"/>
      <c r="C438" s="63" t="n"/>
      <c r="D438" s="61" t="n"/>
      <c r="E438" s="61" t="n"/>
      <c r="F438" s="61" t="n"/>
      <c r="G438" s="61" t="n"/>
      <c r="H438" s="61" t="n"/>
      <c r="I438" s="62" t="n"/>
      <c r="J438" s="61" t="n"/>
    </row>
    <row r="439" ht="15" customHeight="1" s="52">
      <c r="A439" s="56" t="n"/>
      <c r="B439" s="74" t="n"/>
      <c r="C439" s="58" t="n"/>
      <c r="D439" s="56" t="n"/>
      <c r="E439" s="56" t="n"/>
      <c r="F439" s="56" t="n"/>
      <c r="G439" s="56" t="n"/>
      <c r="H439" s="56" t="n"/>
      <c r="I439" s="57" t="n"/>
      <c r="J439" s="56" t="n"/>
    </row>
    <row r="440" ht="15" customHeight="1" s="52">
      <c r="A440" s="61" t="n"/>
      <c r="B440" s="75" t="n"/>
      <c r="C440" s="63" t="n"/>
      <c r="D440" s="61" t="n"/>
      <c r="E440" s="61" t="n"/>
      <c r="F440" s="61" t="n"/>
      <c r="G440" s="61" t="n"/>
      <c r="H440" s="61" t="n"/>
      <c r="I440" s="62" t="n"/>
      <c r="J440" s="61" t="n"/>
    </row>
    <row r="441" ht="15" customHeight="1" s="52">
      <c r="A441" s="56" t="n"/>
      <c r="B441" s="74" t="n"/>
      <c r="C441" s="58" t="n"/>
      <c r="D441" s="56" t="n"/>
      <c r="E441" s="56" t="n"/>
      <c r="F441" s="56" t="n"/>
      <c r="G441" s="56" t="n"/>
      <c r="H441" s="56" t="n"/>
      <c r="I441" s="57" t="n"/>
      <c r="J441" s="56" t="n"/>
    </row>
    <row r="442" ht="15" customHeight="1" s="52">
      <c r="A442" s="61" t="n"/>
      <c r="B442" s="75" t="n"/>
      <c r="C442" s="63" t="n"/>
      <c r="D442" s="61" t="n"/>
      <c r="E442" s="61" t="n"/>
      <c r="F442" s="61" t="n"/>
      <c r="G442" s="61" t="n"/>
      <c r="H442" s="61" t="n"/>
      <c r="I442" s="62" t="n"/>
      <c r="J442" s="61" t="n"/>
    </row>
    <row r="443" ht="15" customHeight="1" s="52">
      <c r="A443" s="56" t="n"/>
      <c r="B443" s="74" t="n"/>
      <c r="C443" s="58" t="n"/>
      <c r="D443" s="56" t="n"/>
      <c r="E443" s="56" t="n"/>
      <c r="F443" s="56" t="n"/>
      <c r="G443" s="56" t="n"/>
      <c r="H443" s="56" t="n"/>
      <c r="I443" s="57" t="n"/>
      <c r="J443" s="56" t="n"/>
    </row>
    <row r="444" ht="15" customHeight="1" s="52">
      <c r="A444" s="61" t="n"/>
      <c r="B444" s="75" t="n"/>
      <c r="C444" s="63" t="n"/>
      <c r="D444" s="61" t="n"/>
      <c r="E444" s="61" t="n"/>
      <c r="F444" s="61" t="n"/>
      <c r="G444" s="61" t="n"/>
      <c r="H444" s="61" t="n"/>
      <c r="I444" s="62" t="n"/>
      <c r="J444" s="61" t="n"/>
    </row>
    <row r="445" ht="15" customHeight="1" s="52">
      <c r="A445" s="56" t="n"/>
      <c r="B445" s="74" t="n"/>
      <c r="C445" s="58" t="n"/>
      <c r="D445" s="56" t="n"/>
      <c r="E445" s="56" t="n"/>
      <c r="F445" s="56" t="n"/>
      <c r="G445" s="56" t="n"/>
      <c r="H445" s="56" t="n"/>
      <c r="I445" s="57" t="n"/>
      <c r="J445" s="56" t="n"/>
    </row>
    <row r="446" ht="15" customHeight="1" s="52">
      <c r="A446" s="61" t="n"/>
      <c r="B446" s="75" t="n"/>
      <c r="C446" s="63" t="n"/>
      <c r="D446" s="61" t="n"/>
      <c r="E446" s="61" t="n"/>
      <c r="F446" s="61" t="n"/>
      <c r="G446" s="61" t="n"/>
      <c r="H446" s="61" t="n"/>
      <c r="I446" s="62" t="n"/>
      <c r="J446" s="61" t="n"/>
    </row>
    <row r="447" ht="15" customHeight="1" s="52">
      <c r="A447" s="56" t="n"/>
      <c r="B447" s="74" t="n"/>
      <c r="C447" s="58" t="n"/>
      <c r="D447" s="56" t="n"/>
      <c r="E447" s="56" t="n"/>
      <c r="F447" s="56" t="n"/>
      <c r="G447" s="56" t="n"/>
      <c r="H447" s="56" t="n"/>
      <c r="I447" s="57" t="n"/>
      <c r="J447" s="56" t="n"/>
    </row>
    <row r="448" ht="15" customHeight="1" s="52">
      <c r="A448" s="61" t="n"/>
      <c r="B448" s="75" t="n"/>
      <c r="C448" s="63" t="n"/>
      <c r="D448" s="61" t="n"/>
      <c r="E448" s="61" t="n"/>
      <c r="F448" s="61" t="n"/>
      <c r="G448" s="61" t="n"/>
      <c r="H448" s="61" t="n"/>
      <c r="I448" s="62" t="n"/>
      <c r="J448" s="61" t="n"/>
    </row>
    <row r="449" ht="15" customHeight="1" s="52">
      <c r="A449" s="56" t="n"/>
      <c r="B449" s="74" t="n"/>
      <c r="C449" s="58" t="n"/>
      <c r="D449" s="56" t="n"/>
      <c r="E449" s="56" t="n"/>
      <c r="F449" s="56" t="n"/>
      <c r="G449" s="56" t="n"/>
      <c r="H449" s="56" t="n"/>
      <c r="I449" s="57" t="n"/>
      <c r="J449" s="56" t="n"/>
    </row>
    <row r="450" ht="15" customHeight="1" s="52">
      <c r="A450" s="61" t="n"/>
      <c r="B450" s="75" t="n"/>
      <c r="C450" s="63" t="n"/>
      <c r="D450" s="61" t="n"/>
      <c r="E450" s="61" t="n"/>
      <c r="F450" s="61" t="n"/>
      <c r="G450" s="61" t="n"/>
      <c r="H450" s="61" t="n"/>
      <c r="I450" s="62" t="n"/>
      <c r="J450" s="61" t="n"/>
    </row>
    <row r="451" ht="15" customHeight="1" s="52">
      <c r="A451" s="56" t="n"/>
      <c r="B451" s="74" t="n"/>
      <c r="C451" s="58" t="n"/>
      <c r="D451" s="56" t="n"/>
      <c r="E451" s="56" t="n"/>
      <c r="F451" s="56" t="n"/>
      <c r="G451" s="56" t="n"/>
      <c r="H451" s="56" t="n"/>
      <c r="I451" s="57" t="n"/>
      <c r="J451" s="56" t="n"/>
    </row>
    <row r="452" ht="15" customHeight="1" s="52">
      <c r="A452" s="61" t="n"/>
      <c r="B452" s="75" t="n"/>
      <c r="C452" s="63" t="n"/>
      <c r="D452" s="61" t="n"/>
      <c r="E452" s="61" t="n"/>
      <c r="F452" s="61" t="n"/>
      <c r="G452" s="61" t="n"/>
      <c r="H452" s="61" t="n"/>
      <c r="I452" s="62" t="n"/>
      <c r="J452" s="61" t="n"/>
    </row>
    <row r="453" ht="15" customHeight="1" s="52">
      <c r="A453" s="56" t="n"/>
      <c r="B453" s="74" t="n"/>
      <c r="C453" s="58" t="n"/>
      <c r="D453" s="56" t="n"/>
      <c r="E453" s="56" t="n"/>
      <c r="F453" s="56" t="n"/>
      <c r="G453" s="56" t="n"/>
      <c r="H453" s="56" t="n"/>
      <c r="I453" s="57" t="n"/>
      <c r="J453" s="56" t="n"/>
    </row>
    <row r="454" ht="15" customHeight="1" s="52">
      <c r="A454" s="61" t="n"/>
      <c r="B454" s="75" t="n"/>
      <c r="C454" s="63" t="n"/>
      <c r="D454" s="61" t="n"/>
      <c r="E454" s="61" t="n"/>
      <c r="F454" s="61" t="n"/>
      <c r="G454" s="61" t="n"/>
      <c r="H454" s="61" t="n"/>
      <c r="I454" s="62" t="n"/>
      <c r="J454" s="61" t="n"/>
    </row>
    <row r="455" ht="15" customHeight="1" s="52">
      <c r="A455" s="56" t="n"/>
      <c r="B455" s="74" t="n"/>
      <c r="C455" s="58" t="n"/>
      <c r="D455" s="56" t="n"/>
      <c r="E455" s="56" t="n"/>
      <c r="F455" s="56" t="n"/>
      <c r="G455" s="56" t="n"/>
      <c r="H455" s="56" t="n"/>
      <c r="I455" s="57" t="n"/>
      <c r="J455" s="56" t="n"/>
    </row>
    <row r="456" ht="15" customHeight="1" s="52">
      <c r="A456" s="61" t="n"/>
      <c r="B456" s="75" t="n"/>
      <c r="C456" s="63" t="n"/>
      <c r="D456" s="61" t="n"/>
      <c r="E456" s="61" t="n"/>
      <c r="F456" s="61" t="n"/>
      <c r="G456" s="61" t="n"/>
      <c r="H456" s="61" t="n"/>
      <c r="I456" s="62" t="n"/>
      <c r="J456" s="61" t="n"/>
    </row>
    <row r="457" ht="15" customHeight="1" s="52">
      <c r="A457" s="56" t="n"/>
      <c r="B457" s="74" t="n"/>
      <c r="C457" s="58" t="n"/>
      <c r="D457" s="56" t="n"/>
      <c r="E457" s="56" t="n"/>
      <c r="F457" s="56" t="n"/>
      <c r="G457" s="56" t="n"/>
      <c r="H457" s="56" t="n"/>
      <c r="I457" s="57" t="n"/>
      <c r="J457" s="56" t="n"/>
    </row>
    <row r="458" ht="15" customHeight="1" s="52">
      <c r="A458" s="61" t="n"/>
      <c r="B458" s="75" t="n"/>
      <c r="C458" s="63" t="n"/>
      <c r="D458" s="61" t="n"/>
      <c r="E458" s="61" t="n"/>
      <c r="F458" s="61" t="n"/>
      <c r="G458" s="61" t="n"/>
      <c r="H458" s="61" t="n"/>
      <c r="I458" s="62" t="n"/>
      <c r="J458" s="61" t="n"/>
    </row>
    <row r="459" ht="15" customHeight="1" s="52">
      <c r="A459" s="56" t="n"/>
      <c r="B459" s="74" t="n"/>
      <c r="C459" s="58" t="n"/>
      <c r="D459" s="56" t="n"/>
      <c r="E459" s="56" t="n"/>
      <c r="F459" s="56" t="n"/>
      <c r="G459" s="56" t="n"/>
      <c r="H459" s="56" t="n"/>
      <c r="I459" s="57" t="n"/>
      <c r="J459" s="56" t="n"/>
    </row>
    <row r="460" ht="15" customHeight="1" s="52">
      <c r="A460" s="61" t="n"/>
      <c r="B460" s="75" t="n"/>
      <c r="C460" s="63" t="n"/>
      <c r="D460" s="61" t="n"/>
      <c r="E460" s="61" t="n"/>
      <c r="F460" s="61" t="n"/>
      <c r="G460" s="61" t="n"/>
      <c r="H460" s="61" t="n"/>
      <c r="I460" s="62" t="n"/>
      <c r="J460" s="61" t="n"/>
    </row>
    <row r="461" ht="15" customHeight="1" s="52">
      <c r="A461" s="56" t="n"/>
      <c r="B461" s="74" t="n"/>
      <c r="C461" s="58" t="n"/>
      <c r="D461" s="56" t="n"/>
      <c r="E461" s="56" t="n"/>
      <c r="F461" s="56" t="n"/>
      <c r="G461" s="56" t="n"/>
      <c r="H461" s="56" t="n"/>
      <c r="I461" s="57" t="n"/>
      <c r="J461" s="56" t="n"/>
    </row>
    <row r="462" ht="15" customHeight="1" s="52">
      <c r="A462" s="61" t="n"/>
      <c r="B462" s="75" t="n"/>
      <c r="C462" s="63" t="n"/>
      <c r="D462" s="61" t="n"/>
      <c r="E462" s="61" t="n"/>
      <c r="F462" s="61" t="n"/>
      <c r="G462" s="61" t="n"/>
      <c r="H462" s="61" t="n"/>
      <c r="I462" s="62" t="n"/>
      <c r="J462" s="61" t="n"/>
    </row>
    <row r="463" ht="15" customHeight="1" s="52">
      <c r="A463" s="56" t="n"/>
      <c r="B463" s="74" t="n"/>
      <c r="C463" s="58" t="n"/>
      <c r="D463" s="56" t="n"/>
      <c r="E463" s="56" t="n"/>
      <c r="F463" s="56" t="n"/>
      <c r="G463" s="56" t="n"/>
      <c r="H463" s="56" t="n"/>
      <c r="I463" s="57" t="n"/>
      <c r="J463" s="56" t="n"/>
    </row>
    <row r="464" ht="15" customHeight="1" s="52">
      <c r="A464" s="61" t="n"/>
      <c r="B464" s="75" t="n"/>
      <c r="C464" s="63" t="n"/>
      <c r="D464" s="61" t="n"/>
      <c r="E464" s="61" t="n"/>
      <c r="F464" s="61" t="n"/>
      <c r="G464" s="61" t="n"/>
      <c r="H464" s="61" t="n"/>
      <c r="I464" s="62" t="n"/>
      <c r="J464" s="61" t="n"/>
    </row>
    <row r="465" ht="15" customHeight="1" s="52">
      <c r="A465" s="56" t="n"/>
      <c r="B465" s="74" t="n"/>
      <c r="C465" s="58" t="n"/>
      <c r="D465" s="56" t="n"/>
      <c r="E465" s="56" t="n"/>
      <c r="F465" s="56" t="n"/>
      <c r="G465" s="56" t="n"/>
      <c r="H465" s="56" t="n"/>
      <c r="I465" s="57" t="n"/>
      <c r="J465" s="56" t="n"/>
    </row>
    <row r="466" ht="15" customHeight="1" s="52">
      <c r="A466" s="61" t="n"/>
      <c r="B466" s="75" t="n"/>
      <c r="C466" s="63" t="n"/>
      <c r="D466" s="61" t="n"/>
      <c r="E466" s="61" t="n"/>
      <c r="F466" s="61" t="n"/>
      <c r="G466" s="61" t="n"/>
      <c r="H466" s="61" t="n"/>
      <c r="I466" s="62" t="n"/>
      <c r="J466" s="61" t="n"/>
    </row>
    <row r="467" ht="15" customHeight="1" s="52">
      <c r="A467" s="56" t="n"/>
      <c r="B467" s="74" t="n"/>
      <c r="C467" s="58" t="n"/>
      <c r="D467" s="56" t="n"/>
      <c r="E467" s="56" t="n"/>
      <c r="F467" s="56" t="n"/>
      <c r="G467" s="56" t="n"/>
      <c r="H467" s="56" t="n"/>
      <c r="I467" s="57" t="n"/>
      <c r="J467" s="56" t="n"/>
    </row>
    <row r="468" ht="15" customHeight="1" s="52">
      <c r="A468" s="61" t="n"/>
      <c r="B468" s="75" t="n"/>
      <c r="C468" s="63" t="n"/>
      <c r="D468" s="61" t="n"/>
      <c r="E468" s="61" t="n"/>
      <c r="F468" s="61" t="n"/>
      <c r="G468" s="61" t="n"/>
      <c r="H468" s="61" t="n"/>
      <c r="I468" s="62" t="n"/>
      <c r="J468" s="61" t="n"/>
    </row>
    <row r="469" ht="15" customHeight="1" s="52">
      <c r="A469" s="56" t="n"/>
      <c r="B469" s="74" t="n"/>
      <c r="C469" s="58" t="n"/>
      <c r="D469" s="56" t="n"/>
      <c r="E469" s="56" t="n"/>
      <c r="F469" s="56" t="n"/>
      <c r="G469" s="56" t="n"/>
      <c r="H469" s="56" t="n"/>
      <c r="I469" s="57" t="n"/>
      <c r="J469" s="56" t="n"/>
    </row>
    <row r="470" ht="15" customHeight="1" s="52">
      <c r="A470" s="61" t="n"/>
      <c r="B470" s="75" t="n"/>
      <c r="C470" s="63" t="n"/>
      <c r="D470" s="61" t="n"/>
      <c r="E470" s="61" t="n"/>
      <c r="F470" s="61" t="n"/>
      <c r="G470" s="61" t="n"/>
      <c r="H470" s="61" t="n"/>
      <c r="I470" s="62" t="n"/>
      <c r="J470" s="61" t="n"/>
    </row>
    <row r="471" ht="15" customHeight="1" s="52">
      <c r="A471" s="56" t="n"/>
      <c r="B471" s="74" t="n"/>
      <c r="C471" s="58" t="n"/>
      <c r="D471" s="56" t="n"/>
      <c r="E471" s="56" t="n"/>
      <c r="F471" s="56" t="n"/>
      <c r="G471" s="56" t="n"/>
      <c r="H471" s="56" t="n"/>
      <c r="I471" s="57" t="n"/>
      <c r="J471" s="56" t="n"/>
    </row>
    <row r="472" ht="15" customHeight="1" s="52">
      <c r="A472" s="61" t="n"/>
      <c r="B472" s="75" t="n"/>
      <c r="C472" s="63" t="n"/>
      <c r="D472" s="61" t="n"/>
      <c r="E472" s="61" t="n"/>
      <c r="F472" s="61" t="n"/>
      <c r="G472" s="61" t="n"/>
      <c r="H472" s="61" t="n"/>
      <c r="I472" s="62" t="n"/>
      <c r="J472" s="61" t="n"/>
    </row>
    <row r="473" ht="15" customHeight="1" s="52">
      <c r="A473" s="56" t="n"/>
      <c r="B473" s="74" t="n"/>
      <c r="C473" s="58" t="n"/>
      <c r="D473" s="56" t="n"/>
      <c r="E473" s="56" t="n"/>
      <c r="F473" s="56" t="n"/>
      <c r="G473" s="56" t="n"/>
      <c r="H473" s="56" t="n"/>
      <c r="I473" s="57" t="n"/>
      <c r="J473" s="56" t="n"/>
    </row>
    <row r="474" ht="15" customHeight="1" s="52">
      <c r="A474" s="61" t="n"/>
      <c r="B474" s="75" t="n"/>
      <c r="C474" s="63" t="n"/>
      <c r="D474" s="61" t="n"/>
      <c r="E474" s="61" t="n"/>
      <c r="F474" s="61" t="n"/>
      <c r="G474" s="61" t="n"/>
      <c r="H474" s="61" t="n"/>
      <c r="I474" s="62" t="n"/>
      <c r="J474" s="61" t="n"/>
    </row>
    <row r="475" ht="15" customHeight="1" s="52">
      <c r="A475" s="56" t="n"/>
      <c r="B475" s="74" t="n"/>
      <c r="C475" s="58" t="n"/>
      <c r="D475" s="56" t="n"/>
      <c r="E475" s="56" t="n"/>
      <c r="F475" s="56" t="n"/>
      <c r="G475" s="56" t="n"/>
      <c r="H475" s="56" t="n"/>
      <c r="I475" s="57" t="n"/>
      <c r="J475" s="56" t="n"/>
    </row>
    <row r="476" ht="15" customHeight="1" s="52">
      <c r="A476" s="61" t="n"/>
      <c r="B476" s="75" t="n"/>
      <c r="C476" s="63" t="n"/>
      <c r="D476" s="61" t="n"/>
      <c r="E476" s="61" t="n"/>
      <c r="F476" s="61" t="n"/>
      <c r="G476" s="61" t="n"/>
      <c r="H476" s="61" t="n"/>
      <c r="I476" s="62" t="n"/>
      <c r="J476" s="61" t="n"/>
    </row>
    <row r="477" ht="15" customHeight="1" s="52">
      <c r="A477" s="56" t="n"/>
      <c r="B477" s="74" t="n"/>
      <c r="C477" s="58" t="n"/>
      <c r="D477" s="56" t="n"/>
      <c r="E477" s="56" t="n"/>
      <c r="F477" s="56" t="n"/>
      <c r="G477" s="56" t="n"/>
      <c r="H477" s="56" t="n"/>
      <c r="I477" s="57" t="n"/>
      <c r="J477" s="56" t="n"/>
    </row>
    <row r="478" ht="15" customHeight="1" s="52">
      <c r="A478" s="61" t="n"/>
      <c r="B478" s="75" t="n"/>
      <c r="C478" s="63" t="n"/>
      <c r="D478" s="61" t="n"/>
      <c r="E478" s="61" t="n"/>
      <c r="F478" s="61" t="n"/>
      <c r="G478" s="61" t="n"/>
      <c r="H478" s="61" t="n"/>
      <c r="I478" s="62" t="n"/>
      <c r="J478" s="61" t="n"/>
    </row>
    <row r="479" ht="15" customHeight="1" s="52">
      <c r="A479" s="56" t="n"/>
      <c r="B479" s="74" t="n"/>
      <c r="C479" s="58" t="n"/>
      <c r="D479" s="56" t="n"/>
      <c r="E479" s="56" t="n"/>
      <c r="F479" s="56" t="n"/>
      <c r="G479" s="56" t="n"/>
      <c r="H479" s="56" t="n"/>
      <c r="I479" s="57" t="n"/>
      <c r="J479" s="56" t="n"/>
    </row>
    <row r="480" ht="15" customHeight="1" s="52">
      <c r="A480" s="61" t="n"/>
      <c r="B480" s="75" t="n"/>
      <c r="C480" s="63" t="n"/>
      <c r="D480" s="61" t="n"/>
      <c r="E480" s="61" t="n"/>
      <c r="F480" s="61" t="n"/>
      <c r="G480" s="61" t="n"/>
      <c r="H480" s="61" t="n"/>
      <c r="I480" s="62" t="n"/>
      <c r="J480" s="61" t="n"/>
    </row>
    <row r="481" ht="15" customHeight="1" s="52">
      <c r="A481" s="56" t="n"/>
      <c r="B481" s="74" t="n"/>
      <c r="C481" s="58" t="n"/>
      <c r="D481" s="56" t="n"/>
      <c r="E481" s="56" t="n"/>
      <c r="F481" s="56" t="n"/>
      <c r="G481" s="56" t="n"/>
      <c r="H481" s="56" t="n"/>
      <c r="I481" s="57" t="n"/>
      <c r="J481" s="56" t="n"/>
    </row>
    <row r="482" ht="15" customHeight="1" s="52">
      <c r="A482" s="61" t="n"/>
      <c r="B482" s="75" t="n"/>
      <c r="C482" s="63" t="n"/>
      <c r="D482" s="61" t="n"/>
      <c r="E482" s="61" t="n"/>
      <c r="F482" s="61" t="n"/>
      <c r="G482" s="61" t="n"/>
      <c r="H482" s="61" t="n"/>
      <c r="I482" s="62" t="n"/>
      <c r="J482" s="61" t="n"/>
    </row>
    <row r="483" ht="15" customHeight="1" s="52">
      <c r="A483" s="56" t="n"/>
      <c r="B483" s="74" t="n"/>
      <c r="C483" s="58" t="n"/>
      <c r="D483" s="56" t="n"/>
      <c r="E483" s="56" t="n"/>
      <c r="F483" s="56" t="n"/>
      <c r="G483" s="56" t="n"/>
      <c r="H483" s="56" t="n"/>
      <c r="I483" s="57" t="n"/>
      <c r="J483" s="56" t="n"/>
    </row>
    <row r="484" ht="15" customHeight="1" s="52">
      <c r="A484" s="61" t="n"/>
      <c r="B484" s="75" t="n"/>
      <c r="C484" s="63" t="n"/>
      <c r="D484" s="61" t="n"/>
      <c r="E484" s="61" t="n"/>
      <c r="F484" s="61" t="n"/>
      <c r="G484" s="61" t="n"/>
      <c r="H484" s="61" t="n"/>
      <c r="I484" s="62" t="n"/>
      <c r="J484" s="61" t="n"/>
    </row>
    <row r="485" ht="15" customHeight="1" s="52">
      <c r="A485" s="56" t="n"/>
      <c r="B485" s="74" t="n"/>
      <c r="C485" s="58" t="n"/>
      <c r="D485" s="56" t="n"/>
      <c r="E485" s="56" t="n"/>
      <c r="F485" s="56" t="n"/>
      <c r="G485" s="56" t="n"/>
      <c r="H485" s="56" t="n"/>
      <c r="I485" s="57" t="n"/>
      <c r="J485" s="56" t="n"/>
    </row>
    <row r="486" ht="15" customHeight="1" s="52">
      <c r="A486" s="61" t="n"/>
      <c r="B486" s="75" t="n"/>
      <c r="C486" s="63" t="n"/>
      <c r="D486" s="61" t="n"/>
      <c r="E486" s="61" t="n"/>
      <c r="F486" s="61" t="n"/>
      <c r="G486" s="61" t="n"/>
      <c r="H486" s="61" t="n"/>
      <c r="I486" s="62" t="n"/>
      <c r="J486" s="61" t="n"/>
    </row>
    <row r="487" ht="15" customHeight="1" s="52">
      <c r="A487" s="56" t="n"/>
      <c r="B487" s="74" t="n"/>
      <c r="C487" s="58" t="n"/>
      <c r="D487" s="56" t="n"/>
      <c r="E487" s="56" t="n"/>
      <c r="F487" s="56" t="n"/>
      <c r="G487" s="56" t="n"/>
      <c r="H487" s="56" t="n"/>
      <c r="I487" s="57" t="n"/>
      <c r="J487" s="56" t="n"/>
    </row>
    <row r="488" ht="15" customHeight="1" s="52">
      <c r="A488" s="61" t="n"/>
      <c r="B488" s="75" t="n"/>
      <c r="C488" s="63" t="n"/>
      <c r="D488" s="61" t="n"/>
      <c r="E488" s="61" t="n"/>
      <c r="F488" s="61" t="n"/>
      <c r="G488" s="61" t="n"/>
      <c r="H488" s="61" t="n"/>
      <c r="I488" s="62" t="n"/>
      <c r="J488" s="61" t="n"/>
    </row>
    <row r="489" ht="15" customHeight="1" s="52">
      <c r="A489" s="56" t="n"/>
      <c r="B489" s="74" t="n"/>
      <c r="C489" s="58" t="n"/>
      <c r="D489" s="56" t="n"/>
      <c r="E489" s="56" t="n"/>
      <c r="F489" s="56" t="n"/>
      <c r="G489" s="56" t="n"/>
      <c r="H489" s="56" t="n"/>
      <c r="I489" s="57" t="n"/>
      <c r="J489" s="56" t="n"/>
    </row>
    <row r="490" ht="15" customHeight="1" s="52">
      <c r="A490" s="61" t="n"/>
      <c r="B490" s="75" t="n"/>
      <c r="C490" s="63" t="n"/>
      <c r="D490" s="61" t="n"/>
      <c r="E490" s="61" t="n"/>
      <c r="F490" s="61" t="n"/>
      <c r="G490" s="61" t="n"/>
      <c r="H490" s="61" t="n"/>
      <c r="I490" s="62" t="n"/>
      <c r="J490" s="61" t="n"/>
    </row>
    <row r="491" ht="15" customHeight="1" s="52">
      <c r="A491" s="56" t="n"/>
      <c r="B491" s="74" t="n"/>
      <c r="C491" s="58" t="n"/>
      <c r="D491" s="56" t="n"/>
      <c r="E491" s="56" t="n"/>
      <c r="F491" s="56" t="n"/>
      <c r="G491" s="56" t="n"/>
      <c r="H491" s="56" t="n"/>
      <c r="I491" s="57" t="n"/>
      <c r="J491" s="56" t="n"/>
    </row>
    <row r="492" ht="15" customHeight="1" s="52">
      <c r="A492" s="61" t="n"/>
      <c r="B492" s="75" t="n"/>
      <c r="C492" s="63" t="n"/>
      <c r="D492" s="61" t="n"/>
      <c r="E492" s="61" t="n"/>
      <c r="F492" s="61" t="n"/>
      <c r="G492" s="61" t="n"/>
      <c r="H492" s="61" t="n"/>
      <c r="I492" s="62" t="n"/>
      <c r="J492" s="61" t="n"/>
    </row>
    <row r="493" ht="15" customHeight="1" s="52">
      <c r="A493" s="56" t="n"/>
      <c r="B493" s="74" t="n"/>
      <c r="C493" s="58" t="n"/>
      <c r="D493" s="56" t="n"/>
      <c r="E493" s="56" t="n"/>
      <c r="F493" s="56" t="n"/>
      <c r="G493" s="56" t="n"/>
      <c r="H493" s="56" t="n"/>
      <c r="I493" s="57" t="n"/>
      <c r="J493" s="56" t="n"/>
    </row>
    <row r="494" ht="15" customHeight="1" s="52">
      <c r="A494" s="61" t="n"/>
      <c r="B494" s="75" t="n"/>
      <c r="C494" s="63" t="n"/>
      <c r="D494" s="61" t="n"/>
      <c r="E494" s="61" t="n"/>
      <c r="F494" s="61" t="n"/>
      <c r="G494" s="61" t="n"/>
      <c r="H494" s="61" t="n"/>
      <c r="I494" s="62" t="n"/>
      <c r="J494" s="61" t="n"/>
    </row>
    <row r="495" ht="15" customHeight="1" s="52">
      <c r="A495" s="56" t="n"/>
      <c r="B495" s="74" t="n"/>
      <c r="C495" s="58" t="n"/>
      <c r="D495" s="56" t="n"/>
      <c r="E495" s="56" t="n"/>
      <c r="F495" s="56" t="n"/>
      <c r="G495" s="56" t="n"/>
      <c r="H495" s="56" t="n"/>
      <c r="I495" s="57" t="n"/>
      <c r="J495" s="56" t="n"/>
    </row>
    <row r="496" ht="15" customHeight="1" s="52">
      <c r="A496" s="61" t="n"/>
      <c r="B496" s="75" t="n"/>
      <c r="C496" s="63" t="n"/>
      <c r="D496" s="61" t="n"/>
      <c r="E496" s="61" t="n"/>
      <c r="F496" s="61" t="n"/>
      <c r="G496" s="61" t="n"/>
      <c r="H496" s="61" t="n"/>
      <c r="I496" s="62" t="n"/>
      <c r="J496" s="61" t="n"/>
    </row>
    <row r="497" ht="15" customHeight="1" s="52">
      <c r="A497" s="56" t="n"/>
      <c r="B497" s="74" t="n"/>
      <c r="C497" s="58" t="n"/>
      <c r="D497" s="56" t="n"/>
      <c r="E497" s="56" t="n"/>
      <c r="F497" s="56" t="n"/>
      <c r="G497" s="56" t="n"/>
      <c r="H497" s="56" t="n"/>
      <c r="I497" s="57" t="n"/>
      <c r="J497" s="56" t="n"/>
    </row>
    <row r="498" ht="15" customHeight="1" s="52">
      <c r="A498" s="61" t="n"/>
      <c r="B498" s="75" t="n"/>
      <c r="C498" s="63" t="n"/>
      <c r="D498" s="61" t="n"/>
      <c r="E498" s="61" t="n"/>
      <c r="F498" s="61" t="n"/>
      <c r="G498" s="61" t="n"/>
      <c r="H498" s="61" t="n"/>
      <c r="I498" s="62" t="n"/>
      <c r="J498" s="61" t="n"/>
    </row>
    <row r="499" ht="15" customHeight="1" s="52">
      <c r="A499" s="56" t="n"/>
      <c r="B499" s="74" t="n"/>
      <c r="C499" s="58" t="n"/>
      <c r="D499" s="56" t="n"/>
      <c r="E499" s="56" t="n"/>
      <c r="F499" s="56" t="n"/>
      <c r="G499" s="56" t="n"/>
      <c r="H499" s="56" t="n"/>
      <c r="I499" s="57" t="n"/>
      <c r="J499" s="56" t="n"/>
    </row>
    <row r="500" ht="15" customHeight="1" s="52">
      <c r="A500" s="61" t="n"/>
      <c r="B500" s="75" t="n"/>
      <c r="C500" s="63" t="n"/>
      <c r="D500" s="61" t="n"/>
      <c r="E500" s="61" t="n"/>
      <c r="F500" s="61" t="n"/>
      <c r="G500" s="61" t="n"/>
      <c r="H500" s="61" t="n"/>
      <c r="I500" s="62" t="n"/>
      <c r="J500" s="61" t="n"/>
    </row>
  </sheetData>
  <autoFilter ref="A3:J500"/>
  <mergeCells count="2">
    <mergeCell ref="A1:J1"/>
    <mergeCell ref="A2:J2"/>
  </mergeCells>
  <conditionalFormatting sqref="I4:I500">
    <cfRule type="cellIs" rank="0" priority="2" equalAverage="0" operator="greaterThan" aboveAverage="0" dxfId="5" text="" percent="0" bottom="0">
      <formula>500</formula>
    </cfRule>
    <cfRule type="cellIs" rank="0" priority="3" equalAverage="0" operator="between" aboveAverage="0" dxfId="6" text="" percent="0" bottom="0">
      <formula>200</formula>
      <formula>500</formula>
    </cfRule>
  </conditionalFormatting>
  <conditionalFormatting sqref="D4:D500">
    <cfRule type="cellIs" rank="0" priority="4" equalAverage="0" operator="equal" aboveAverage="0" dxfId="7" text="" percent="0" bottom="0">
      <formula>"BREAK DOWN"</formula>
    </cfRule>
    <cfRule type="cellIs" rank="0" priority="5" equalAverage="0" operator="equal" aboveAverage="0" dxfId="8" text="" percent="0" bottom="0">
      <formula>"ACCIDENT"</formula>
    </cfRule>
  </conditionalFormatting>
  <dataValidations count="3">
    <dataValidation sqref="A4:A500" showDropDown="0" showInputMessage="1" showErrorMessage="1" allowBlank="1" errorTitle="Invalid" error="Select from the list" promptTitle="Vehicle" prompt="Select a vehicle from the fleet" type="list" errorStyle="stop" operator="between">
      <formula1>"COLDRV1 22 TOY COR,COLDRV2 17 NISSAN ALTIMA,COLDRV3 17 TOY PRIUS,COLDRV4 2015 HONDA ACCORD,COLDRV5 18 HONDA ACCORD,COLDRV8 21 TOY COR"</formula1>
      <formula2>0</formula2>
    </dataValidation>
    <dataValidation sqref="D4:D500" showDropDown="0" showInputMessage="0" showErrorMessage="0" allowBlank="1" type="list" errorStyle="stop" operator="between">
      <formula1>"MAINTENANCE,REPAIR,BREAK DOWN,ACCIDENT"</formula1>
      <formula2>0</formula2>
    </dataValidation>
    <dataValidation sqref="G4:G500" showDropDown="0" showInputMessage="0" showErrorMessage="0" allowBlank="1" type="list" errorStyle="stop" operator="between">
      <formula1>"Routine / Wear Items,Engine &amp; Cooling,Transmission &amp; Drivetrain,Steering &amp; Suspension,Electrical &amp; Other Major"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tabColor rgb="FFF0A500"/>
    <outlinePr summaryBelow="1" summaryRight="1"/>
    <pageSetUpPr fitToPage="0"/>
  </sheetPr>
  <dimension ref="A1:F120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4" customWidth="1" style="51" min="1" max="2"/>
    <col width="16" customWidth="1" style="51" min="3" max="3"/>
    <col width="24" customWidth="1" style="51" min="4" max="4"/>
    <col width="14" customWidth="1" style="51" min="5" max="5"/>
    <col width="40" customWidth="1" style="51" min="6" max="6"/>
  </cols>
  <sheetData>
    <row r="1" ht="42" customHeight="1" s="52">
      <c r="A1" s="53" t="inlineStr">
        <is>
          <t>VEHICLE DASHBOARD</t>
        </is>
      </c>
    </row>
    <row r="2" ht="24" customHeight="1" s="52">
      <c r="A2" s="54" t="inlineStr">
        <is>
          <t>Select a vehicle below to view its complete service profile  •  All data pulls from Service Log automatically</t>
        </is>
      </c>
    </row>
    <row r="4" ht="29.25" customHeight="1" s="52">
      <c r="A4" s="76" t="inlineStr">
        <is>
          <t>SELECT VEHICLE:</t>
        </is>
      </c>
      <c r="B4" s="77" t="inlineStr">
        <is>
          <t>COLDRV1 22 TOY COR</t>
        </is>
      </c>
    </row>
    <row r="6" ht="24" customHeight="1" s="52">
      <c r="A6" s="78" t="inlineStr">
        <is>
          <t>TOTAL SPENT</t>
        </is>
      </c>
      <c r="B6" s="79" t="inlineStr">
        <is>
          <t># OF SERVICES</t>
        </is>
      </c>
      <c r="C6" s="80" t="inlineStr">
        <is>
          <t>AVG COST / SERVICE</t>
        </is>
      </c>
      <c r="D6" s="81" t="inlineStr">
        <is>
          <t>HIGHEST SINGLE COST</t>
        </is>
      </c>
      <c r="E6" s="82" t="inlineStr">
        <is>
          <t>LATEST MILEAGE</t>
        </is>
      </c>
      <c r="F6" s="83" t="inlineStr">
        <is>
          <t>FUEL EFFICIENCY</t>
        </is>
      </c>
    </row>
    <row r="7" ht="36" customHeight="1" s="52">
      <c r="A7" s="84">
        <f>SUMIFS('Service Log'!I$2:I$500,'Service Log'!A$2:A$500,B4)</f>
        <v/>
      </c>
      <c r="B7" s="85">
        <f>COUNTIFS('Service Log'!A$2:A$500,B4,'Service Log'!I$2:I$500,"&gt;0")</f>
        <v/>
      </c>
      <c r="C7" s="86">
        <f>IFERROR(A7/B7,0)</f>
        <v/>
      </c>
      <c r="D7" s="87">
        <f>IFERROR(maxifs('Service Log'!I$2:I$500,'Service Log'!A$2:A$500,B4),0)</f>
        <v/>
      </c>
      <c r="E7" s="88">
        <f>IFERROR(maxifs('Service Log'!C$2:C$500,'Service Log'!A$2:A$500,B4),"")</f>
        <v/>
      </c>
      <c r="F7" s="89">
        <f>IFERROR(SUMIFS('Fuel Log'!D$2:D$500,'Fuel Log'!A$2:A$500,B4)/SUMIFS('Fuel Log'!C$2:C$500,'Fuel Log'!A$2:A$500,B4),"")</f>
        <v/>
      </c>
    </row>
    <row r="9" ht="15" customHeight="1" s="52">
      <c r="A9" s="90" t="inlineStr">
        <is>
          <t>COST BY CATEGORY</t>
        </is>
      </c>
      <c r="D9" s="90" t="inlineStr">
        <is>
          <t>SERVICE TRIGGERS</t>
        </is>
      </c>
    </row>
    <row r="10" ht="15" customHeight="1" s="52">
      <c r="A10" s="91" t="inlineStr">
        <is>
          <t>Routine / Wear Items</t>
        </is>
      </c>
      <c r="B10" s="92">
        <f>SUMIFS('Service Log'!I$2:I$500,'Service Log'!A$2:A$500,B4,'Service Log'!G$2:G$500,"Routine / Wear Items")</f>
        <v/>
      </c>
      <c r="D10" s="91" t="inlineStr">
        <is>
          <t>MAINTENANCE</t>
        </is>
      </c>
      <c r="E10" s="93">
        <f>COUNTIFS('Service Log'!A$2:A$500,B4,'Service Log'!D$2:D$500,"MAINTENANCE")</f>
        <v/>
      </c>
    </row>
    <row r="11" ht="15" customHeight="1" s="52">
      <c r="A11" s="91" t="inlineStr">
        <is>
          <t>Engine &amp; Cooling</t>
        </is>
      </c>
      <c r="B11" s="94">
        <f>SUMIFS('Service Log'!I$2:I$500,'Service Log'!A$2:A$500,B4,'Service Log'!G$2:G$500,"Engine &amp; Cooling")</f>
        <v/>
      </c>
      <c r="D11" s="91" t="inlineStr">
        <is>
          <t>REPAIR</t>
        </is>
      </c>
      <c r="E11" s="95">
        <f>COUNTIFS('Service Log'!A$2:A$500,B4,'Service Log'!D$2:D$500,"REPAIR")</f>
        <v/>
      </c>
    </row>
    <row r="12" ht="15" customHeight="1" s="52">
      <c r="A12" s="91" t="inlineStr">
        <is>
          <t>Transmission &amp; Drivetrain</t>
        </is>
      </c>
      <c r="B12" s="92">
        <f>SUMIFS('Service Log'!I$2:I$500,'Service Log'!A$2:A$500,B4,'Service Log'!G$2:G$500,"Transmission &amp; Drivetrain")</f>
        <v/>
      </c>
      <c r="D12" s="91" t="inlineStr">
        <is>
          <t>BREAK DOWN</t>
        </is>
      </c>
      <c r="E12" s="93">
        <f>COUNTIFS('Service Log'!A$2:A$500,B4,'Service Log'!D$2:D$500,"BREAK DOWN")</f>
        <v/>
      </c>
    </row>
    <row r="13" ht="15" customHeight="1" s="52">
      <c r="A13" s="91" t="inlineStr">
        <is>
          <t>Steering &amp; Suspension</t>
        </is>
      </c>
      <c r="B13" s="94">
        <f>SUMIFS('Service Log'!I$2:I$500,'Service Log'!A$2:A$500,B4,'Service Log'!G$2:G$500,"Steering &amp; Suspension")</f>
        <v/>
      </c>
      <c r="D13" s="91" t="inlineStr">
        <is>
          <t>ACCIDENT</t>
        </is>
      </c>
      <c r="E13" s="95">
        <f>COUNTIFS('Service Log'!A$2:A$500,B4,'Service Log'!D$2:D$500,"ACCIDENT")</f>
        <v/>
      </c>
    </row>
    <row r="14" ht="15" customHeight="1" s="52">
      <c r="A14" s="91" t="inlineStr">
        <is>
          <t>Electrical &amp; Other Major</t>
        </is>
      </c>
      <c r="B14" s="92">
        <f>SUMIFS('Service Log'!I$2:I$500,'Service Log'!A$2:A$500,B4,'Service Log'!G$2:G$500,"Electrical &amp; Other Major")</f>
        <v/>
      </c>
    </row>
    <row r="16" ht="15" customHeight="1" s="52">
      <c r="A16" s="96" t="inlineStr">
        <is>
          <t>RECENT SERVICE HISTORY (filtered from Service Log)</t>
        </is>
      </c>
    </row>
    <row r="17" ht="31.5" customHeight="1" s="52">
      <c r="A17" s="70" t="inlineStr">
        <is>
          <t>DATE</t>
        </is>
      </c>
      <c r="B17" s="70" t="inlineStr">
        <is>
          <t>MILEAGE</t>
        </is>
      </c>
      <c r="C17" s="70" t="inlineStr">
        <is>
          <t>TRIGGER</t>
        </is>
      </c>
      <c r="D17" s="70" t="inlineStr">
        <is>
          <t>SERVICE CATEGORY</t>
        </is>
      </c>
      <c r="E17" s="70" t="inlineStr">
        <is>
          <t>COST</t>
        </is>
      </c>
      <c r="F17" s="70" t="inlineStr">
        <is>
          <t>NOTES</t>
        </is>
      </c>
    </row>
    <row r="18" ht="15" customHeight="1" s="52">
      <c r="A18" s="75">
        <f>IFERROR(filter('Service Log'!B$2:B$500,'Service Log'!A$2:A$500=B4),"")</f>
        <v/>
      </c>
      <c r="B18" s="63">
        <f>IFERROR(filter('Service Log'!C$2:C$500,'Service Log'!A$2:A$500=B4),"")</f>
        <v/>
      </c>
      <c r="C18" s="61">
        <f>IFERROR(filter('Service Log'!D$2:D$500,'Service Log'!A$2:A$500=B4),"")</f>
        <v/>
      </c>
      <c r="D18" s="61">
        <f>IFERROR(filter('Service Log'!G$2:G$500,'Service Log'!A$2:A$500=B4),"")</f>
        <v/>
      </c>
      <c r="E18" s="62">
        <f>IFERROR(filter('Service Log'!I$2:I$500,'Service Log'!A$2:A$500=B4),"")</f>
        <v/>
      </c>
      <c r="F18" s="61">
        <f>IFERROR(filter('Service Log'!E$2:E$500,'Service Log'!A$2:A$500=B4),"")</f>
        <v/>
      </c>
    </row>
    <row r="19" ht="15" customHeight="1" s="52">
      <c r="A19" s="74" t="n"/>
      <c r="B19" s="58" t="n"/>
      <c r="C19" s="56" t="n"/>
      <c r="D19" s="56" t="n"/>
      <c r="E19" s="57" t="n"/>
      <c r="F19" s="56" t="n"/>
    </row>
    <row r="20" ht="15" customHeight="1" s="52">
      <c r="A20" s="75" t="n"/>
      <c r="B20" s="63" t="n"/>
      <c r="C20" s="61" t="n"/>
      <c r="D20" s="61" t="n"/>
      <c r="E20" s="62" t="n"/>
      <c r="F20" s="61" t="n"/>
    </row>
    <row r="21" ht="15" customHeight="1" s="52">
      <c r="A21" s="74" t="n"/>
      <c r="B21" s="58" t="n"/>
      <c r="C21" s="56" t="n"/>
      <c r="D21" s="56" t="n"/>
      <c r="E21" s="57" t="n"/>
      <c r="F21" s="56" t="n"/>
    </row>
    <row r="22" ht="15" customHeight="1" s="52">
      <c r="A22" s="75" t="n"/>
      <c r="B22" s="63" t="n"/>
      <c r="C22" s="61" t="n"/>
      <c r="D22" s="61" t="n"/>
      <c r="E22" s="62" t="n"/>
      <c r="F22" s="61" t="n"/>
    </row>
    <row r="23" ht="15" customHeight="1" s="52">
      <c r="A23" s="74" t="n"/>
      <c r="B23" s="58" t="n"/>
      <c r="C23" s="56" t="n"/>
      <c r="D23" s="56" t="n"/>
      <c r="E23" s="57" t="n"/>
      <c r="F23" s="56" t="n"/>
    </row>
    <row r="24" ht="15" customHeight="1" s="52">
      <c r="A24" s="75" t="n"/>
      <c r="B24" s="63" t="n"/>
      <c r="C24" s="61" t="n"/>
      <c r="D24" s="61" t="n"/>
      <c r="E24" s="62" t="n"/>
      <c r="F24" s="61" t="n"/>
    </row>
    <row r="25" ht="15" customHeight="1" s="52">
      <c r="A25" s="74" t="n"/>
      <c r="B25" s="58" t="n"/>
      <c r="C25" s="56" t="n"/>
      <c r="D25" s="56" t="n"/>
      <c r="E25" s="57" t="n"/>
      <c r="F25" s="56" t="n"/>
    </row>
    <row r="26" ht="15" customHeight="1" s="52">
      <c r="A26" s="75" t="n"/>
      <c r="B26" s="63" t="n"/>
      <c r="C26" s="61" t="n"/>
      <c r="D26" s="61" t="n"/>
      <c r="E26" s="62" t="n"/>
      <c r="F26" s="61" t="n"/>
    </row>
    <row r="27" ht="15" customHeight="1" s="52">
      <c r="A27" s="74" t="n"/>
      <c r="B27" s="58" t="n"/>
      <c r="C27" s="56" t="n"/>
      <c r="D27" s="56" t="n"/>
      <c r="E27" s="57" t="n"/>
      <c r="F27" s="56" t="n"/>
    </row>
    <row r="28" ht="15" customHeight="1" s="52">
      <c r="A28" s="75" t="n"/>
      <c r="B28" s="63" t="n"/>
      <c r="C28" s="61" t="n"/>
      <c r="D28" s="61" t="n"/>
      <c r="E28" s="62" t="n"/>
      <c r="F28" s="61" t="n"/>
    </row>
    <row r="29" ht="15" customHeight="1" s="52">
      <c r="A29" s="74" t="n"/>
      <c r="B29" s="58" t="n"/>
      <c r="C29" s="56" t="n"/>
      <c r="D29" s="56" t="n"/>
      <c r="E29" s="57" t="n"/>
      <c r="F29" s="56" t="n"/>
    </row>
    <row r="30" ht="15" customHeight="1" s="52">
      <c r="A30" s="75" t="n"/>
      <c r="B30" s="63" t="n"/>
      <c r="C30" s="61" t="n"/>
      <c r="D30" s="61" t="n"/>
      <c r="E30" s="62" t="n"/>
      <c r="F30" s="61" t="n"/>
    </row>
    <row r="31" ht="15" customHeight="1" s="52">
      <c r="A31" s="74" t="n"/>
      <c r="B31" s="58" t="n"/>
      <c r="C31" s="56" t="n"/>
      <c r="D31" s="56" t="n"/>
      <c r="E31" s="57" t="n"/>
      <c r="F31" s="56" t="n"/>
    </row>
    <row r="32" ht="15" customHeight="1" s="52">
      <c r="A32" s="75" t="n"/>
      <c r="B32" s="63" t="n"/>
      <c r="C32" s="61" t="n"/>
      <c r="D32" s="61" t="n"/>
      <c r="E32" s="62" t="n"/>
      <c r="F32" s="61" t="n"/>
    </row>
    <row r="33" ht="15" customHeight="1" s="52">
      <c r="A33" s="74" t="n"/>
      <c r="B33" s="58" t="n"/>
      <c r="C33" s="56" t="n"/>
      <c r="D33" s="56" t="n"/>
      <c r="E33" s="57" t="n"/>
      <c r="F33" s="56" t="n"/>
    </row>
    <row r="34" ht="15" customHeight="1" s="52">
      <c r="A34" s="75" t="n"/>
      <c r="B34" s="63" t="n"/>
      <c r="C34" s="61" t="n"/>
      <c r="D34" s="61" t="n"/>
      <c r="E34" s="62" t="n"/>
      <c r="F34" s="61" t="n"/>
    </row>
    <row r="35" ht="15" customHeight="1" s="52">
      <c r="A35" s="74" t="n"/>
      <c r="B35" s="58" t="n"/>
      <c r="C35" s="56" t="n"/>
      <c r="D35" s="56" t="n"/>
      <c r="E35" s="57" t="n"/>
      <c r="F35" s="56" t="n"/>
    </row>
    <row r="36" ht="15" customHeight="1" s="52">
      <c r="A36" s="75" t="n"/>
      <c r="B36" s="63" t="n"/>
      <c r="C36" s="61" t="n"/>
      <c r="D36" s="61" t="n"/>
      <c r="E36" s="62" t="n"/>
      <c r="F36" s="61" t="n"/>
    </row>
    <row r="37" ht="15" customHeight="1" s="52">
      <c r="A37" s="74" t="n"/>
      <c r="B37" s="58" t="n"/>
      <c r="C37" s="56" t="n"/>
      <c r="D37" s="56" t="n"/>
      <c r="E37" s="57" t="n"/>
      <c r="F37" s="56" t="n"/>
    </row>
    <row r="38" ht="15" customHeight="1" s="52">
      <c r="A38" s="75" t="n"/>
      <c r="B38" s="63" t="n"/>
      <c r="C38" s="61" t="n"/>
      <c r="D38" s="61" t="n"/>
      <c r="E38" s="62" t="n"/>
      <c r="F38" s="61" t="n"/>
    </row>
    <row r="39" ht="15" customHeight="1" s="52">
      <c r="A39" s="74" t="n"/>
      <c r="B39" s="58" t="n"/>
      <c r="C39" s="56" t="n"/>
      <c r="D39" s="56" t="n"/>
      <c r="E39" s="57" t="n"/>
      <c r="F39" s="56" t="n"/>
    </row>
    <row r="40" ht="15" customHeight="1" s="52">
      <c r="A40" s="75" t="n"/>
      <c r="B40" s="63" t="n"/>
      <c r="C40" s="61" t="n"/>
      <c r="D40" s="61" t="n"/>
      <c r="E40" s="62" t="n"/>
      <c r="F40" s="61" t="n"/>
    </row>
    <row r="41" ht="15" customHeight="1" s="52">
      <c r="A41" s="74" t="n"/>
      <c r="B41" s="58" t="n"/>
      <c r="C41" s="56" t="n"/>
      <c r="D41" s="56" t="n"/>
      <c r="E41" s="57" t="n"/>
      <c r="F41" s="56" t="n"/>
    </row>
    <row r="42" ht="15" customHeight="1" s="52">
      <c r="A42" s="75" t="n"/>
      <c r="B42" s="63" t="n"/>
      <c r="C42" s="61" t="n"/>
      <c r="D42" s="61" t="n"/>
      <c r="E42" s="62" t="n"/>
      <c r="F42" s="61" t="n"/>
    </row>
    <row r="43" ht="15" customHeight="1" s="52">
      <c r="A43" s="74" t="n"/>
      <c r="B43" s="58" t="n"/>
      <c r="C43" s="56" t="n"/>
      <c r="D43" s="56" t="n"/>
      <c r="E43" s="57" t="n"/>
      <c r="F43" s="56" t="n"/>
    </row>
    <row r="44" ht="15" customHeight="1" s="52">
      <c r="A44" s="75" t="n"/>
      <c r="B44" s="63" t="n"/>
      <c r="C44" s="61" t="n"/>
      <c r="D44" s="61" t="n"/>
      <c r="E44" s="62" t="n"/>
      <c r="F44" s="61" t="n"/>
    </row>
    <row r="45" ht="15" customHeight="1" s="52">
      <c r="A45" s="74" t="n"/>
      <c r="B45" s="58" t="n"/>
      <c r="C45" s="56" t="n"/>
      <c r="D45" s="56" t="n"/>
      <c r="E45" s="57" t="n"/>
      <c r="F45" s="56" t="n"/>
    </row>
    <row r="46" ht="15" customHeight="1" s="52">
      <c r="A46" s="75" t="n"/>
      <c r="B46" s="63" t="n"/>
      <c r="C46" s="61" t="n"/>
      <c r="D46" s="61" t="n"/>
      <c r="E46" s="62" t="n"/>
      <c r="F46" s="61" t="n"/>
    </row>
    <row r="47" ht="15" customHeight="1" s="52">
      <c r="A47" s="74" t="n"/>
      <c r="B47" s="58" t="n"/>
      <c r="C47" s="56" t="n"/>
      <c r="D47" s="56" t="n"/>
      <c r="E47" s="57" t="n"/>
      <c r="F47" s="56" t="n"/>
    </row>
    <row r="48" ht="15" customHeight="1" s="52">
      <c r="A48" s="75" t="n"/>
      <c r="B48" s="63" t="n"/>
      <c r="C48" s="61" t="n"/>
      <c r="D48" s="61" t="n"/>
      <c r="E48" s="62" t="n"/>
      <c r="F48" s="61" t="n"/>
    </row>
    <row r="49" ht="15" customHeight="1" s="52">
      <c r="A49" s="74" t="n"/>
      <c r="B49" s="58" t="n"/>
      <c r="C49" s="56" t="n"/>
      <c r="D49" s="56" t="n"/>
      <c r="E49" s="57" t="n"/>
      <c r="F49" s="56" t="n"/>
    </row>
    <row r="50" ht="15" customHeight="1" s="52">
      <c r="A50" s="75" t="n"/>
      <c r="B50" s="63" t="n"/>
      <c r="C50" s="61" t="n"/>
      <c r="D50" s="61" t="n"/>
      <c r="E50" s="62" t="n"/>
      <c r="F50" s="61" t="n"/>
    </row>
    <row r="51" ht="15" customHeight="1" s="52">
      <c r="A51" s="74" t="n"/>
      <c r="B51" s="58" t="n"/>
      <c r="C51" s="56" t="n"/>
      <c r="D51" s="56" t="n"/>
      <c r="E51" s="57" t="n"/>
      <c r="F51" s="56" t="n"/>
    </row>
    <row r="52" ht="15" customHeight="1" s="52">
      <c r="A52" s="75" t="n"/>
      <c r="B52" s="63" t="n"/>
      <c r="C52" s="61" t="n"/>
      <c r="D52" s="61" t="n"/>
      <c r="E52" s="62" t="n"/>
      <c r="F52" s="61" t="n"/>
    </row>
    <row r="53" ht="15" customHeight="1" s="52">
      <c r="A53" s="74" t="n"/>
      <c r="B53" s="58" t="n"/>
      <c r="C53" s="56" t="n"/>
      <c r="D53" s="56" t="n"/>
      <c r="E53" s="57" t="n"/>
      <c r="F53" s="56" t="n"/>
    </row>
    <row r="54" ht="15" customHeight="1" s="52">
      <c r="A54" s="75" t="n"/>
      <c r="B54" s="63" t="n"/>
      <c r="C54" s="61" t="n"/>
      <c r="D54" s="61" t="n"/>
      <c r="E54" s="62" t="n"/>
      <c r="F54" s="61" t="n"/>
    </row>
    <row r="55" ht="15" customHeight="1" s="52">
      <c r="A55" s="74" t="n"/>
      <c r="B55" s="58" t="n"/>
      <c r="C55" s="56" t="n"/>
      <c r="D55" s="56" t="n"/>
      <c r="E55" s="57" t="n"/>
      <c r="F55" s="56" t="n"/>
    </row>
    <row r="56" ht="15" customHeight="1" s="52">
      <c r="A56" s="75" t="n"/>
      <c r="B56" s="63" t="n"/>
      <c r="C56" s="61" t="n"/>
      <c r="D56" s="61" t="n"/>
      <c r="E56" s="62" t="n"/>
      <c r="F56" s="61" t="n"/>
    </row>
    <row r="57" ht="15" customHeight="1" s="52">
      <c r="A57" s="74" t="n"/>
      <c r="B57" s="58" t="n"/>
      <c r="C57" s="56" t="n"/>
      <c r="D57" s="56" t="n"/>
      <c r="E57" s="57" t="n"/>
      <c r="F57" s="56" t="n"/>
    </row>
    <row r="58" ht="15" customHeight="1" s="52">
      <c r="A58" s="75" t="n"/>
      <c r="B58" s="63" t="n"/>
      <c r="C58" s="61" t="n"/>
      <c r="D58" s="61" t="n"/>
      <c r="E58" s="62" t="n"/>
      <c r="F58" s="61" t="n"/>
    </row>
    <row r="59" ht="15" customHeight="1" s="52">
      <c r="A59" s="74" t="n"/>
      <c r="B59" s="58" t="n"/>
      <c r="C59" s="56" t="n"/>
      <c r="D59" s="56" t="n"/>
      <c r="E59" s="57" t="n"/>
      <c r="F59" s="56" t="n"/>
    </row>
    <row r="60" ht="15" customHeight="1" s="52">
      <c r="A60" s="75" t="n"/>
      <c r="B60" s="63" t="n"/>
      <c r="C60" s="61" t="n"/>
      <c r="D60" s="61" t="n"/>
      <c r="E60" s="62" t="n"/>
      <c r="F60" s="61" t="n"/>
    </row>
    <row r="61" ht="15" customHeight="1" s="52">
      <c r="A61" s="74" t="n"/>
      <c r="B61" s="58" t="n"/>
      <c r="C61" s="56" t="n"/>
      <c r="D61" s="56" t="n"/>
      <c r="E61" s="57" t="n"/>
      <c r="F61" s="56" t="n"/>
    </row>
    <row r="62" ht="15" customHeight="1" s="52">
      <c r="A62" s="75" t="n"/>
      <c r="B62" s="63" t="n"/>
      <c r="C62" s="61" t="n"/>
      <c r="D62" s="61" t="n"/>
      <c r="E62" s="62" t="n"/>
      <c r="F62" s="61" t="n"/>
    </row>
    <row r="63" ht="15" customHeight="1" s="52">
      <c r="A63" s="74" t="n"/>
      <c r="B63" s="58" t="n"/>
      <c r="C63" s="56" t="n"/>
      <c r="D63" s="56" t="n"/>
      <c r="E63" s="57" t="n"/>
      <c r="F63" s="56" t="n"/>
    </row>
    <row r="64" ht="15" customHeight="1" s="52">
      <c r="A64" s="75" t="n"/>
      <c r="B64" s="63" t="n"/>
      <c r="C64" s="61" t="n"/>
      <c r="D64" s="61" t="n"/>
      <c r="E64" s="62" t="n"/>
      <c r="F64" s="61" t="n"/>
    </row>
    <row r="65" ht="15" customHeight="1" s="52">
      <c r="A65" s="74" t="n"/>
      <c r="B65" s="58" t="n"/>
      <c r="C65" s="56" t="n"/>
      <c r="D65" s="56" t="n"/>
      <c r="E65" s="57" t="n"/>
      <c r="F65" s="56" t="n"/>
    </row>
    <row r="66" ht="15" customHeight="1" s="52">
      <c r="A66" s="75" t="n"/>
      <c r="B66" s="63" t="n"/>
      <c r="C66" s="61" t="n"/>
      <c r="D66" s="61" t="n"/>
      <c r="E66" s="62" t="n"/>
      <c r="F66" s="61" t="n"/>
    </row>
    <row r="67" ht="15" customHeight="1" s="52">
      <c r="A67" s="74" t="n"/>
      <c r="B67" s="58" t="n"/>
      <c r="C67" s="56" t="n"/>
      <c r="D67" s="56" t="n"/>
      <c r="E67" s="57" t="n"/>
      <c r="F67" s="56" t="n"/>
    </row>
    <row r="68" ht="15" customHeight="1" s="52">
      <c r="A68" s="75" t="n"/>
      <c r="B68" s="63" t="n"/>
      <c r="C68" s="61" t="n"/>
      <c r="D68" s="61" t="n"/>
      <c r="E68" s="62" t="n"/>
      <c r="F68" s="61" t="n"/>
    </row>
    <row r="69" ht="15" customHeight="1" s="52">
      <c r="A69" s="74" t="n"/>
      <c r="B69" s="58" t="n"/>
      <c r="C69" s="56" t="n"/>
      <c r="D69" s="56" t="n"/>
      <c r="E69" s="57" t="n"/>
      <c r="F69" s="56" t="n"/>
    </row>
    <row r="70" ht="15" customHeight="1" s="52">
      <c r="A70" s="75" t="n"/>
      <c r="B70" s="63" t="n"/>
      <c r="C70" s="61" t="n"/>
      <c r="D70" s="61" t="n"/>
      <c r="E70" s="62" t="n"/>
      <c r="F70" s="61" t="n"/>
    </row>
    <row r="71" ht="15" customHeight="1" s="52">
      <c r="A71" s="74" t="n"/>
      <c r="B71" s="58" t="n"/>
      <c r="C71" s="56" t="n"/>
      <c r="D71" s="56" t="n"/>
      <c r="E71" s="57" t="n"/>
      <c r="F71" s="56" t="n"/>
    </row>
    <row r="72" ht="15" customHeight="1" s="52">
      <c r="A72" s="75" t="n"/>
      <c r="B72" s="63" t="n"/>
      <c r="C72" s="61" t="n"/>
      <c r="D72" s="61" t="n"/>
      <c r="E72" s="62" t="n"/>
      <c r="F72" s="61" t="n"/>
    </row>
    <row r="73" ht="15" customHeight="1" s="52">
      <c r="A73" s="74" t="n"/>
      <c r="B73" s="58" t="n"/>
      <c r="C73" s="56" t="n"/>
      <c r="D73" s="56" t="n"/>
      <c r="E73" s="57" t="n"/>
      <c r="F73" s="56" t="n"/>
    </row>
    <row r="74" ht="15" customHeight="1" s="52">
      <c r="A74" s="75" t="n"/>
      <c r="B74" s="63" t="n"/>
      <c r="C74" s="61" t="n"/>
      <c r="D74" s="61" t="n"/>
      <c r="E74" s="62" t="n"/>
      <c r="F74" s="61" t="n"/>
    </row>
    <row r="75" ht="15" customHeight="1" s="52">
      <c r="A75" s="74" t="n"/>
      <c r="B75" s="58" t="n"/>
      <c r="C75" s="56" t="n"/>
      <c r="D75" s="56" t="n"/>
      <c r="E75" s="57" t="n"/>
      <c r="F75" s="56" t="n"/>
    </row>
    <row r="76" ht="15" customHeight="1" s="52">
      <c r="A76" s="75" t="n"/>
      <c r="B76" s="63" t="n"/>
      <c r="C76" s="61" t="n"/>
      <c r="D76" s="61" t="n"/>
      <c r="E76" s="62" t="n"/>
      <c r="F76" s="61" t="n"/>
    </row>
    <row r="77" ht="15" customHeight="1" s="52">
      <c r="A77" s="74" t="n"/>
      <c r="B77" s="58" t="n"/>
      <c r="C77" s="56" t="n"/>
      <c r="D77" s="56" t="n"/>
      <c r="E77" s="57" t="n"/>
      <c r="F77" s="56" t="n"/>
    </row>
    <row r="78" ht="15" customHeight="1" s="52">
      <c r="A78" s="75" t="n"/>
      <c r="B78" s="63" t="n"/>
      <c r="C78" s="61" t="n"/>
      <c r="D78" s="61" t="n"/>
      <c r="E78" s="62" t="n"/>
      <c r="F78" s="61" t="n"/>
    </row>
    <row r="79" ht="15" customHeight="1" s="52">
      <c r="A79" s="74" t="n"/>
      <c r="B79" s="58" t="n"/>
      <c r="C79" s="56" t="n"/>
      <c r="D79" s="56" t="n"/>
      <c r="E79" s="57" t="n"/>
      <c r="F79" s="56" t="n"/>
    </row>
    <row r="80" ht="15" customHeight="1" s="52">
      <c r="A80" s="75" t="n"/>
      <c r="B80" s="63" t="n"/>
      <c r="C80" s="61" t="n"/>
      <c r="D80" s="61" t="n"/>
      <c r="E80" s="62" t="n"/>
      <c r="F80" s="61" t="n"/>
    </row>
    <row r="81" ht="15" customHeight="1" s="52">
      <c r="A81" s="74" t="n"/>
      <c r="B81" s="58" t="n"/>
      <c r="C81" s="56" t="n"/>
      <c r="D81" s="56" t="n"/>
      <c r="E81" s="57" t="n"/>
      <c r="F81" s="56" t="n"/>
    </row>
    <row r="82" ht="15" customHeight="1" s="52">
      <c r="A82" s="75" t="n"/>
      <c r="B82" s="63" t="n"/>
      <c r="C82" s="61" t="n"/>
      <c r="D82" s="61" t="n"/>
      <c r="E82" s="62" t="n"/>
      <c r="F82" s="61" t="n"/>
    </row>
    <row r="83" ht="15" customHeight="1" s="52">
      <c r="A83" s="74" t="n"/>
      <c r="B83" s="58" t="n"/>
      <c r="C83" s="56" t="n"/>
      <c r="D83" s="56" t="n"/>
      <c r="E83" s="57" t="n"/>
      <c r="F83" s="56" t="n"/>
    </row>
    <row r="84" ht="15" customHeight="1" s="52">
      <c r="A84" s="75" t="n"/>
      <c r="B84" s="63" t="n"/>
      <c r="C84" s="61" t="n"/>
      <c r="D84" s="61" t="n"/>
      <c r="E84" s="62" t="n"/>
      <c r="F84" s="61" t="n"/>
    </row>
    <row r="85" ht="15" customHeight="1" s="52">
      <c r="A85" s="74" t="n"/>
      <c r="B85" s="58" t="n"/>
      <c r="C85" s="56" t="n"/>
      <c r="D85" s="56" t="n"/>
      <c r="E85" s="57" t="n"/>
      <c r="F85" s="56" t="n"/>
    </row>
    <row r="86" ht="15" customHeight="1" s="52">
      <c r="A86" s="75" t="n"/>
      <c r="B86" s="63" t="n"/>
      <c r="C86" s="61" t="n"/>
      <c r="D86" s="61" t="n"/>
      <c r="E86" s="62" t="n"/>
      <c r="F86" s="61" t="n"/>
    </row>
    <row r="87" ht="15" customHeight="1" s="52">
      <c r="A87" s="74" t="n"/>
      <c r="B87" s="58" t="n"/>
      <c r="C87" s="56" t="n"/>
      <c r="D87" s="56" t="n"/>
      <c r="E87" s="57" t="n"/>
      <c r="F87" s="56" t="n"/>
    </row>
    <row r="88" ht="15" customHeight="1" s="52">
      <c r="A88" s="75" t="n"/>
      <c r="B88" s="63" t="n"/>
      <c r="C88" s="61" t="n"/>
      <c r="D88" s="61" t="n"/>
      <c r="E88" s="62" t="n"/>
      <c r="F88" s="61" t="n"/>
    </row>
    <row r="89" ht="15" customHeight="1" s="52">
      <c r="A89" s="74" t="n"/>
      <c r="B89" s="58" t="n"/>
      <c r="C89" s="56" t="n"/>
      <c r="D89" s="56" t="n"/>
      <c r="E89" s="57" t="n"/>
      <c r="F89" s="56" t="n"/>
    </row>
    <row r="90" ht="15" customHeight="1" s="52">
      <c r="A90" s="75" t="n"/>
      <c r="B90" s="63" t="n"/>
      <c r="C90" s="61" t="n"/>
      <c r="D90" s="61" t="n"/>
      <c r="E90" s="62" t="n"/>
      <c r="F90" s="61" t="n"/>
    </row>
    <row r="91" ht="15" customHeight="1" s="52">
      <c r="A91" s="74" t="n"/>
      <c r="B91" s="58" t="n"/>
      <c r="C91" s="56" t="n"/>
      <c r="D91" s="56" t="n"/>
      <c r="E91" s="57" t="n"/>
      <c r="F91" s="56" t="n"/>
    </row>
    <row r="92" ht="15" customHeight="1" s="52">
      <c r="A92" s="75" t="n"/>
      <c r="B92" s="63" t="n"/>
      <c r="C92" s="61" t="n"/>
      <c r="D92" s="61" t="n"/>
      <c r="E92" s="62" t="n"/>
      <c r="F92" s="61" t="n"/>
    </row>
    <row r="93" ht="15" customHeight="1" s="52">
      <c r="A93" s="74" t="n"/>
      <c r="B93" s="58" t="n"/>
      <c r="C93" s="56" t="n"/>
      <c r="D93" s="56" t="n"/>
      <c r="E93" s="57" t="n"/>
      <c r="F93" s="56" t="n"/>
    </row>
    <row r="94" ht="15" customHeight="1" s="52">
      <c r="A94" s="75" t="n"/>
      <c r="B94" s="63" t="n"/>
      <c r="C94" s="61" t="n"/>
      <c r="D94" s="61" t="n"/>
      <c r="E94" s="62" t="n"/>
      <c r="F94" s="61" t="n"/>
    </row>
    <row r="95" ht="15" customHeight="1" s="52">
      <c r="A95" s="74" t="n"/>
      <c r="B95" s="58" t="n"/>
      <c r="C95" s="56" t="n"/>
      <c r="D95" s="56" t="n"/>
      <c r="E95" s="57" t="n"/>
      <c r="F95" s="56" t="n"/>
    </row>
    <row r="96" ht="15" customHeight="1" s="52">
      <c r="A96" s="75" t="n"/>
      <c r="B96" s="63" t="n"/>
      <c r="C96" s="61" t="n"/>
      <c r="D96" s="61" t="n"/>
      <c r="E96" s="62" t="n"/>
      <c r="F96" s="61" t="n"/>
    </row>
    <row r="97" ht="15" customHeight="1" s="52">
      <c r="A97" s="74" t="n"/>
      <c r="B97" s="58" t="n"/>
      <c r="C97" s="56" t="n"/>
      <c r="D97" s="56" t="n"/>
      <c r="E97" s="57" t="n"/>
      <c r="F97" s="56" t="n"/>
    </row>
    <row r="98" ht="15" customHeight="1" s="52">
      <c r="A98" s="75" t="n"/>
      <c r="B98" s="63" t="n"/>
      <c r="C98" s="61" t="n"/>
      <c r="D98" s="61" t="n"/>
      <c r="E98" s="62" t="n"/>
      <c r="F98" s="61" t="n"/>
    </row>
    <row r="99" ht="15" customHeight="1" s="52">
      <c r="A99" s="74" t="n"/>
      <c r="B99" s="58" t="n"/>
      <c r="C99" s="56" t="n"/>
      <c r="D99" s="56" t="n"/>
      <c r="E99" s="57" t="n"/>
      <c r="F99" s="56" t="n"/>
    </row>
    <row r="100" ht="15" customHeight="1" s="52">
      <c r="A100" s="75" t="n"/>
      <c r="B100" s="63" t="n"/>
      <c r="C100" s="61" t="n"/>
      <c r="D100" s="61" t="n"/>
      <c r="E100" s="62" t="n"/>
      <c r="F100" s="61" t="n"/>
    </row>
    <row r="101" ht="15" customHeight="1" s="52">
      <c r="A101" s="74" t="n"/>
      <c r="B101" s="58" t="n"/>
      <c r="C101" s="56" t="n"/>
      <c r="D101" s="56" t="n"/>
      <c r="E101" s="57" t="n"/>
      <c r="F101" s="56" t="n"/>
    </row>
    <row r="102" ht="15" customHeight="1" s="52">
      <c r="A102" s="75" t="n"/>
      <c r="B102" s="63" t="n"/>
      <c r="C102" s="61" t="n"/>
      <c r="D102" s="61" t="n"/>
      <c r="E102" s="62" t="n"/>
      <c r="F102" s="61" t="n"/>
    </row>
    <row r="103" ht="15" customHeight="1" s="52">
      <c r="A103" s="74" t="n"/>
      <c r="B103" s="58" t="n"/>
      <c r="C103" s="56" t="n"/>
      <c r="D103" s="56" t="n"/>
      <c r="E103" s="57" t="n"/>
      <c r="F103" s="56" t="n"/>
    </row>
    <row r="104" ht="15" customHeight="1" s="52">
      <c r="A104" s="75" t="n"/>
      <c r="B104" s="63" t="n"/>
      <c r="C104" s="61" t="n"/>
      <c r="D104" s="61" t="n"/>
      <c r="E104" s="62" t="n"/>
      <c r="F104" s="61" t="n"/>
    </row>
    <row r="105" ht="15" customHeight="1" s="52">
      <c r="A105" s="74" t="n"/>
      <c r="B105" s="58" t="n"/>
      <c r="C105" s="56" t="n"/>
      <c r="D105" s="56" t="n"/>
      <c r="E105" s="57" t="n"/>
      <c r="F105" s="56" t="n"/>
    </row>
    <row r="106" ht="15" customHeight="1" s="52">
      <c r="A106" s="75" t="n"/>
      <c r="B106" s="63" t="n"/>
      <c r="C106" s="61" t="n"/>
      <c r="D106" s="61" t="n"/>
      <c r="E106" s="62" t="n"/>
      <c r="F106" s="61" t="n"/>
    </row>
    <row r="107" ht="15" customHeight="1" s="52">
      <c r="A107" s="74" t="n"/>
      <c r="B107" s="58" t="n"/>
      <c r="C107" s="56" t="n"/>
      <c r="D107" s="56" t="n"/>
      <c r="E107" s="57" t="n"/>
      <c r="F107" s="56" t="n"/>
    </row>
    <row r="108" ht="15" customHeight="1" s="52">
      <c r="A108" s="75" t="n"/>
      <c r="B108" s="63" t="n"/>
      <c r="C108" s="61" t="n"/>
      <c r="D108" s="61" t="n"/>
      <c r="E108" s="62" t="n"/>
      <c r="F108" s="61" t="n"/>
    </row>
    <row r="109" ht="15" customHeight="1" s="52">
      <c r="A109" s="74" t="n"/>
      <c r="B109" s="58" t="n"/>
      <c r="C109" s="56" t="n"/>
      <c r="D109" s="56" t="n"/>
      <c r="E109" s="57" t="n"/>
      <c r="F109" s="56" t="n"/>
    </row>
    <row r="110" ht="15" customHeight="1" s="52">
      <c r="A110" s="75" t="n"/>
      <c r="B110" s="63" t="n"/>
      <c r="C110" s="61" t="n"/>
      <c r="D110" s="61" t="n"/>
      <c r="E110" s="62" t="n"/>
      <c r="F110" s="61" t="n"/>
    </row>
    <row r="111" ht="15" customHeight="1" s="52">
      <c r="A111" s="74" t="n"/>
      <c r="B111" s="58" t="n"/>
      <c r="C111" s="56" t="n"/>
      <c r="D111" s="56" t="n"/>
      <c r="E111" s="57" t="n"/>
      <c r="F111" s="56" t="n"/>
    </row>
    <row r="112" ht="15" customHeight="1" s="52">
      <c r="A112" s="75" t="n"/>
      <c r="B112" s="63" t="n"/>
      <c r="C112" s="61" t="n"/>
      <c r="D112" s="61" t="n"/>
      <c r="E112" s="62" t="n"/>
      <c r="F112" s="61" t="n"/>
    </row>
    <row r="113" ht="15" customHeight="1" s="52">
      <c r="A113" s="74" t="n"/>
      <c r="B113" s="58" t="n"/>
      <c r="C113" s="56" t="n"/>
      <c r="D113" s="56" t="n"/>
      <c r="E113" s="57" t="n"/>
      <c r="F113" s="56" t="n"/>
    </row>
    <row r="114" ht="15" customHeight="1" s="52">
      <c r="A114" s="75" t="n"/>
      <c r="B114" s="63" t="n"/>
      <c r="C114" s="61" t="n"/>
      <c r="D114" s="61" t="n"/>
      <c r="E114" s="62" t="n"/>
      <c r="F114" s="61" t="n"/>
    </row>
    <row r="115" ht="15" customHeight="1" s="52">
      <c r="A115" s="74" t="n"/>
      <c r="B115" s="58" t="n"/>
      <c r="C115" s="56" t="n"/>
      <c r="D115" s="56" t="n"/>
      <c r="E115" s="57" t="n"/>
      <c r="F115" s="56" t="n"/>
    </row>
    <row r="116" ht="15" customHeight="1" s="52">
      <c r="A116" s="75" t="n"/>
      <c r="B116" s="63" t="n"/>
      <c r="C116" s="61" t="n"/>
      <c r="D116" s="61" t="n"/>
      <c r="E116" s="62" t="n"/>
      <c r="F116" s="61" t="n"/>
    </row>
    <row r="117" ht="15" customHeight="1" s="52">
      <c r="A117" s="74" t="n"/>
      <c r="B117" s="58" t="n"/>
      <c r="C117" s="56" t="n"/>
      <c r="D117" s="56" t="n"/>
      <c r="E117" s="57" t="n"/>
      <c r="F117" s="56" t="n"/>
    </row>
    <row r="118" ht="15" customHeight="1" s="52">
      <c r="A118" s="75" t="n"/>
      <c r="B118" s="63" t="n"/>
      <c r="C118" s="61" t="n"/>
      <c r="D118" s="61" t="n"/>
      <c r="E118" s="62" t="n"/>
      <c r="F118" s="61" t="n"/>
    </row>
    <row r="119" ht="15" customHeight="1" s="52">
      <c r="A119" s="74" t="n"/>
      <c r="B119" s="58" t="n"/>
      <c r="C119" s="56" t="n"/>
      <c r="D119" s="56" t="n"/>
      <c r="E119" s="57" t="n"/>
      <c r="F119" s="56" t="n"/>
    </row>
    <row r="120" ht="15" customHeight="1" s="52">
      <c r="A120" s="75" t="n"/>
      <c r="B120" s="63" t="n"/>
      <c r="C120" s="61" t="n"/>
      <c r="D120" s="61" t="n"/>
      <c r="E120" s="62" t="n"/>
      <c r="F120" s="61" t="n"/>
    </row>
  </sheetData>
  <mergeCells count="2">
    <mergeCell ref="A2:F2"/>
    <mergeCell ref="A1:F1"/>
  </mergeCells>
  <dataValidations count="1">
    <dataValidation sqref="B4" showDropDown="0" showInputMessage="1" showErrorMessage="0" allowBlank="0" promptTitle="Select Vehicle" prompt="Choose a vehicle to view its dashboard" type="list" errorStyle="stop" operator="between">
      <formula1>"COLDRV1 22 TOY COR,COLDRV2 17 NISSAN ALTIMA,COLDRV3 17 TOY PRIUS,COLDRV4 2015 HONDA ACCORD,COLDRV5 18 HONDA ACCORD,COLDRV8 21 TOY COR"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tabColor rgb="FF2DC653"/>
    <outlinePr summaryBelow="1" summaryRight="1"/>
    <pageSetUpPr fitToPage="0"/>
  </sheetPr>
  <dimension ref="A1:G500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28" customWidth="1" style="51" min="1" max="1"/>
    <col width="14" customWidth="1" style="51" min="2" max="2"/>
    <col width="12" customWidth="1" style="51" min="3" max="3"/>
    <col width="14" customWidth="1" style="51" min="4" max="4"/>
    <col width="10" customWidth="1" style="51" min="5" max="5"/>
    <col width="14" customWidth="1" style="51" min="6" max="6"/>
    <col width="16" customWidth="1" style="51" min="7" max="7"/>
  </cols>
  <sheetData>
    <row r="1" ht="42" customHeight="1" s="52">
      <c r="A1" s="53" t="inlineStr">
        <is>
          <t>FUEL LOG — ALL VEHICLES</t>
        </is>
      </c>
    </row>
    <row r="2" ht="24" customHeight="1" s="52">
      <c r="A2" s="54" t="inlineStr">
        <is>
          <t>Track fill-ups separately from service events  •  MPG calculates automatically  •  Filter by vehicle using column A</t>
        </is>
      </c>
    </row>
    <row r="3" ht="31.5" customHeight="1" s="52">
      <c r="A3" s="55" t="inlineStr">
        <is>
          <t>VEHICLE</t>
        </is>
      </c>
      <c r="B3" s="55" t="inlineStr">
        <is>
          <t>DATE</t>
        </is>
      </c>
      <c r="C3" s="55" t="inlineStr">
        <is>
          <t>GALLONS</t>
        </is>
      </c>
      <c r="D3" s="55" t="inlineStr">
        <is>
          <t>MILES DRIVEN</t>
        </is>
      </c>
      <c r="E3" s="55" t="inlineStr">
        <is>
          <t>MPG</t>
        </is>
      </c>
      <c r="F3" s="55" t="inlineStr">
        <is>
          <t>COST / GALLON</t>
        </is>
      </c>
      <c r="G3" s="55" t="inlineStr">
        <is>
          <t>TOTAL FUEL COST</t>
        </is>
      </c>
    </row>
    <row r="4" ht="15" customHeight="1" s="52">
      <c r="A4" s="61" t="inlineStr">
        <is>
          <t>COLDRV3 17 TOY PRIUS</t>
        </is>
      </c>
      <c r="B4" s="71" t="n">
        <v>45677</v>
      </c>
      <c r="C4" s="97" t="n">
        <v>9.279999999999999</v>
      </c>
      <c r="D4" s="63" t="n">
        <v>491.8</v>
      </c>
      <c r="E4" s="64">
        <f>IFERROR(D4/C4,"")</f>
        <v/>
      </c>
      <c r="F4" s="98" t="n">
        <v>2.85</v>
      </c>
      <c r="G4" s="62">
        <f>IFERROR(C4*F4,"")</f>
        <v/>
      </c>
    </row>
    <row r="5" ht="15" customHeight="1" s="52">
      <c r="A5" s="56" t="inlineStr">
        <is>
          <t>COLDRV8 21 TOY COR</t>
        </is>
      </c>
      <c r="B5" s="72" t="n">
        <v>45683</v>
      </c>
      <c r="C5" s="99" t="n">
        <v>12.24</v>
      </c>
      <c r="D5" s="58" t="n">
        <v>373.3</v>
      </c>
      <c r="E5" s="59">
        <f>IFERROR(D5/C5,"")</f>
        <v/>
      </c>
      <c r="F5" s="100" t="n">
        <v>3.17</v>
      </c>
      <c r="G5" s="57">
        <f>IFERROR(C5*F5,"")</f>
        <v/>
      </c>
    </row>
    <row r="6" ht="15" customHeight="1" s="52">
      <c r="A6" s="61" t="inlineStr">
        <is>
          <t>COLDRV5 18 HONDA ACCORD</t>
        </is>
      </c>
      <c r="B6" s="71" t="n">
        <v>45685</v>
      </c>
      <c r="C6" s="97" t="n">
        <v>7.64</v>
      </c>
      <c r="D6" s="63" t="n">
        <v>382.1</v>
      </c>
      <c r="E6" s="64">
        <f>IFERROR(D6/C6,"")</f>
        <v/>
      </c>
      <c r="F6" s="98" t="n">
        <v>3.31</v>
      </c>
      <c r="G6" s="62">
        <f>IFERROR(C6*F6,"")</f>
        <v/>
      </c>
    </row>
    <row r="7" ht="15" customHeight="1" s="52">
      <c r="A7" s="56" t="inlineStr">
        <is>
          <t>COLDRV4 2015 HONDA ACCORD</t>
        </is>
      </c>
      <c r="B7" s="72" t="n">
        <v>45686</v>
      </c>
      <c r="C7" s="99" t="n">
        <v>14.21</v>
      </c>
      <c r="D7" s="58" t="n">
        <v>327.7</v>
      </c>
      <c r="E7" s="59">
        <f>IFERROR(D7/C7,"")</f>
        <v/>
      </c>
      <c r="F7" s="100" t="n">
        <v>2.89</v>
      </c>
      <c r="G7" s="57">
        <f>IFERROR(C7*F7,"")</f>
        <v/>
      </c>
    </row>
    <row r="8" ht="15" customHeight="1" s="52">
      <c r="A8" s="61" t="inlineStr">
        <is>
          <t>COLDRV1 22 TOY COR</t>
        </is>
      </c>
      <c r="B8" s="71" t="n">
        <v>45688</v>
      </c>
      <c r="C8" s="97" t="n">
        <v>12.14</v>
      </c>
      <c r="D8" s="63" t="n">
        <v>370.2</v>
      </c>
      <c r="E8" s="64">
        <f>IFERROR(D8/C8,"")</f>
        <v/>
      </c>
      <c r="F8" s="98" t="n">
        <v>2.96</v>
      </c>
      <c r="G8" s="62">
        <f>IFERROR(C8*F8,"")</f>
        <v/>
      </c>
    </row>
    <row r="9" ht="15" customHeight="1" s="52">
      <c r="A9" s="56" t="inlineStr">
        <is>
          <t>COLDRV2 17 NISSAN ALTIMA</t>
        </is>
      </c>
      <c r="B9" s="72" t="n">
        <v>45688</v>
      </c>
      <c r="C9" s="99" t="n">
        <v>10.39</v>
      </c>
      <c r="D9" s="58" t="n">
        <v>276.9</v>
      </c>
      <c r="E9" s="59">
        <f>IFERROR(D9/C9,"")</f>
        <v/>
      </c>
      <c r="F9" s="100" t="n">
        <v>3.59</v>
      </c>
      <c r="G9" s="57">
        <f>IFERROR(C9*F9,"")</f>
        <v/>
      </c>
    </row>
    <row r="10" ht="15" customHeight="1" s="52">
      <c r="A10" s="61" t="inlineStr">
        <is>
          <t>COLDRV1 22 TOY COR</t>
        </is>
      </c>
      <c r="B10" s="71" t="n">
        <v>45696</v>
      </c>
      <c r="C10" s="97" t="n">
        <v>13.73</v>
      </c>
      <c r="D10" s="63" t="n">
        <v>338.8</v>
      </c>
      <c r="E10" s="64">
        <f>IFERROR(D10/C10,"")</f>
        <v/>
      </c>
      <c r="F10" s="98" t="n">
        <v>2.97</v>
      </c>
      <c r="G10" s="62">
        <f>IFERROR(C10*F10,"")</f>
        <v/>
      </c>
    </row>
    <row r="11" ht="15" customHeight="1" s="52">
      <c r="A11" s="56" t="inlineStr">
        <is>
          <t>COLDRV4 2015 HONDA ACCORD</t>
        </is>
      </c>
      <c r="B11" s="72" t="n">
        <v>45696</v>
      </c>
      <c r="C11" s="99" t="n">
        <v>13.92</v>
      </c>
      <c r="D11" s="58" t="n">
        <v>268.2</v>
      </c>
      <c r="E11" s="59">
        <f>IFERROR(D11/C11,"")</f>
        <v/>
      </c>
      <c r="F11" s="100" t="n">
        <v>2.96</v>
      </c>
      <c r="G11" s="57">
        <f>IFERROR(C11*F11,"")</f>
        <v/>
      </c>
    </row>
    <row r="12" ht="15" customHeight="1" s="52">
      <c r="A12" s="61" t="inlineStr">
        <is>
          <t>COLDRV3 17 TOY PRIUS</t>
        </is>
      </c>
      <c r="B12" s="71" t="n">
        <v>45698</v>
      </c>
      <c r="C12" s="97" t="n">
        <v>13.15</v>
      </c>
      <c r="D12" s="63" t="n">
        <v>487.4</v>
      </c>
      <c r="E12" s="64">
        <f>IFERROR(D12/C12,"")</f>
        <v/>
      </c>
      <c r="F12" s="98" t="n">
        <v>3.6</v>
      </c>
      <c r="G12" s="62">
        <f>IFERROR(C12*F12,"")</f>
        <v/>
      </c>
    </row>
    <row r="13" ht="15" customHeight="1" s="52">
      <c r="A13" s="56" t="inlineStr">
        <is>
          <t>COLDRV5 18 HONDA ACCORD</t>
        </is>
      </c>
      <c r="B13" s="72" t="n">
        <v>45699</v>
      </c>
      <c r="C13" s="99" t="n">
        <v>7.54</v>
      </c>
      <c r="D13" s="58" t="n">
        <v>302.8</v>
      </c>
      <c r="E13" s="59">
        <f>IFERROR(D13/C13,"")</f>
        <v/>
      </c>
      <c r="F13" s="100" t="n">
        <v>3.45</v>
      </c>
      <c r="G13" s="57">
        <f>IFERROR(C13*F13,"")</f>
        <v/>
      </c>
    </row>
    <row r="14" ht="15" customHeight="1" s="52">
      <c r="A14" s="61" t="inlineStr">
        <is>
          <t>COLDRV8 21 TOY COR</t>
        </is>
      </c>
      <c r="B14" s="71" t="n">
        <v>45701</v>
      </c>
      <c r="C14" s="97" t="n">
        <v>8.890000000000001</v>
      </c>
      <c r="D14" s="63" t="n">
        <v>314.7</v>
      </c>
      <c r="E14" s="64">
        <f>IFERROR(D14/C14,"")</f>
        <v/>
      </c>
      <c r="F14" s="98" t="n">
        <v>3.51</v>
      </c>
      <c r="G14" s="62">
        <f>IFERROR(C14*F14,"")</f>
        <v/>
      </c>
    </row>
    <row r="15" ht="15" customHeight="1" s="52">
      <c r="A15" s="56" t="inlineStr">
        <is>
          <t>COLDRV1 22 TOY COR</t>
        </is>
      </c>
      <c r="B15" s="72" t="n">
        <v>45707</v>
      </c>
      <c r="C15" s="99" t="n">
        <v>11.73</v>
      </c>
      <c r="D15" s="58" t="n">
        <v>334.8</v>
      </c>
      <c r="E15" s="59">
        <f>IFERROR(D15/C15,"")</f>
        <v/>
      </c>
      <c r="F15" s="100" t="n">
        <v>3.01</v>
      </c>
      <c r="G15" s="57">
        <f>IFERROR(C15*F15,"")</f>
        <v/>
      </c>
    </row>
    <row r="16" ht="15" customHeight="1" s="52">
      <c r="A16" s="61" t="inlineStr">
        <is>
          <t>COLDRV2 17 NISSAN ALTIMA</t>
        </is>
      </c>
      <c r="B16" s="71" t="n">
        <v>45707</v>
      </c>
      <c r="C16" s="97" t="n">
        <v>14.02</v>
      </c>
      <c r="D16" s="63" t="n">
        <v>370.3</v>
      </c>
      <c r="E16" s="64">
        <f>IFERROR(D16/C16,"")</f>
        <v/>
      </c>
      <c r="F16" s="98" t="n">
        <v>3.54</v>
      </c>
      <c r="G16" s="62">
        <f>IFERROR(C16*F16,"")</f>
        <v/>
      </c>
    </row>
    <row r="17" ht="15" customHeight="1" s="52">
      <c r="A17" s="56" t="inlineStr">
        <is>
          <t>COLDRV4 2015 HONDA ACCORD</t>
        </is>
      </c>
      <c r="B17" s="72" t="n">
        <v>45710</v>
      </c>
      <c r="C17" s="99" t="n">
        <v>12.17</v>
      </c>
      <c r="D17" s="58" t="n">
        <v>398.2</v>
      </c>
      <c r="E17" s="59">
        <f>IFERROR(D17/C17,"")</f>
        <v/>
      </c>
      <c r="F17" s="100" t="n">
        <v>3.33</v>
      </c>
      <c r="G17" s="57">
        <f>IFERROR(C17*F17,"")</f>
        <v/>
      </c>
    </row>
    <row r="18" ht="15" customHeight="1" s="52">
      <c r="A18" s="61" t="inlineStr">
        <is>
          <t>COLDRV8 21 TOY COR</t>
        </is>
      </c>
      <c r="B18" s="71" t="n">
        <v>45711</v>
      </c>
      <c r="C18" s="97" t="n">
        <v>8.210000000000001</v>
      </c>
      <c r="D18" s="63" t="n">
        <v>343.6</v>
      </c>
      <c r="E18" s="64">
        <f>IFERROR(D18/C18,"")</f>
        <v/>
      </c>
      <c r="F18" s="98" t="n">
        <v>3.53</v>
      </c>
      <c r="G18" s="62">
        <f>IFERROR(C18*F18,"")</f>
        <v/>
      </c>
    </row>
    <row r="19" ht="15" customHeight="1" s="52">
      <c r="A19" s="56" t="inlineStr">
        <is>
          <t>COLDRV3 17 TOY PRIUS</t>
        </is>
      </c>
      <c r="B19" s="72" t="n">
        <v>45716</v>
      </c>
      <c r="C19" s="99" t="n">
        <v>12.19</v>
      </c>
      <c r="D19" s="58" t="n">
        <v>422.8</v>
      </c>
      <c r="E19" s="59">
        <f>IFERROR(D19/C19,"")</f>
        <v/>
      </c>
      <c r="F19" s="100" t="n">
        <v>2.91</v>
      </c>
      <c r="G19" s="57">
        <f>IFERROR(C19*F19,"")</f>
        <v/>
      </c>
    </row>
    <row r="20" ht="15" customHeight="1" s="52">
      <c r="A20" s="61" t="inlineStr">
        <is>
          <t>COLDRV5 18 HONDA ACCORD</t>
        </is>
      </c>
      <c r="B20" s="71" t="n">
        <v>45719</v>
      </c>
      <c r="C20" s="97" t="n">
        <v>13.74</v>
      </c>
      <c r="D20" s="63" t="n">
        <v>375.4</v>
      </c>
      <c r="E20" s="64">
        <f>IFERROR(D20/C20,"")</f>
        <v/>
      </c>
      <c r="F20" s="98" t="n">
        <v>3.28</v>
      </c>
      <c r="G20" s="62">
        <f>IFERROR(C20*F20,"")</f>
        <v/>
      </c>
    </row>
    <row r="21" ht="15" customHeight="1" s="52">
      <c r="A21" s="56" t="inlineStr">
        <is>
          <t>COLDRV1 22 TOY COR</t>
        </is>
      </c>
      <c r="B21" s="72" t="n">
        <v>45724</v>
      </c>
      <c r="C21" s="99" t="n">
        <v>13.47</v>
      </c>
      <c r="D21" s="58" t="n">
        <v>300.9</v>
      </c>
      <c r="E21" s="59">
        <f>IFERROR(D21/C21,"")</f>
        <v/>
      </c>
      <c r="F21" s="100" t="n">
        <v>3.05</v>
      </c>
      <c r="G21" s="57">
        <f>IFERROR(C21*F21,"")</f>
        <v/>
      </c>
    </row>
    <row r="22" ht="15" customHeight="1" s="52">
      <c r="A22" s="61" t="inlineStr">
        <is>
          <t>COLDRV2 17 NISSAN ALTIMA</t>
        </is>
      </c>
      <c r="B22" s="71" t="n">
        <v>45726</v>
      </c>
      <c r="C22" s="97" t="n">
        <v>9.24</v>
      </c>
      <c r="D22" s="63" t="n">
        <v>273.9</v>
      </c>
      <c r="E22" s="64">
        <f>IFERROR(D22/C22,"")</f>
        <v/>
      </c>
      <c r="F22" s="98" t="n">
        <v>3.41</v>
      </c>
      <c r="G22" s="62">
        <f>IFERROR(C22*F22,"")</f>
        <v/>
      </c>
    </row>
    <row r="23" ht="15" customHeight="1" s="52">
      <c r="A23" s="56" t="inlineStr">
        <is>
          <t>COLDRV8 21 TOY COR</t>
        </is>
      </c>
      <c r="B23" s="72" t="n">
        <v>45727</v>
      </c>
      <c r="C23" s="99" t="n">
        <v>13.14</v>
      </c>
      <c r="D23" s="58" t="n">
        <v>347.4</v>
      </c>
      <c r="E23" s="59">
        <f>IFERROR(D23/C23,"")</f>
        <v/>
      </c>
      <c r="F23" s="100" t="n">
        <v>3.3</v>
      </c>
      <c r="G23" s="57">
        <f>IFERROR(C23*F23,"")</f>
        <v/>
      </c>
    </row>
    <row r="24" ht="15" customHeight="1" s="52">
      <c r="A24" s="61" t="inlineStr">
        <is>
          <t>COLDRV4 2015 HONDA ACCORD</t>
        </is>
      </c>
      <c r="B24" s="71" t="n">
        <v>45729</v>
      </c>
      <c r="C24" s="97" t="n">
        <v>13.74</v>
      </c>
      <c r="D24" s="63" t="n">
        <v>341.9</v>
      </c>
      <c r="E24" s="64">
        <f>IFERROR(D24/C24,"")</f>
        <v/>
      </c>
      <c r="F24" s="98" t="n">
        <v>3.43</v>
      </c>
      <c r="G24" s="62">
        <f>IFERROR(C24*F24,"")</f>
        <v/>
      </c>
    </row>
    <row r="25" ht="15" customHeight="1" s="52">
      <c r="A25" s="56" t="inlineStr">
        <is>
          <t>COLDRV3 17 TOY PRIUS</t>
        </is>
      </c>
      <c r="B25" s="72" t="n">
        <v>45733</v>
      </c>
      <c r="C25" s="99" t="n">
        <v>13.95</v>
      </c>
      <c r="D25" s="58" t="n">
        <v>474.6</v>
      </c>
      <c r="E25" s="59">
        <f>IFERROR(D25/C25,"")</f>
        <v/>
      </c>
      <c r="F25" s="100" t="n">
        <v>3.38</v>
      </c>
      <c r="G25" s="57">
        <f>IFERROR(C25*F25,"")</f>
        <v/>
      </c>
    </row>
    <row r="26" ht="15" customHeight="1" s="52">
      <c r="A26" s="61" t="inlineStr">
        <is>
          <t>COLDRV8 21 TOY COR</t>
        </is>
      </c>
      <c r="B26" s="71" t="n">
        <v>45734</v>
      </c>
      <c r="C26" s="97" t="n">
        <v>9.93</v>
      </c>
      <c r="D26" s="63" t="n">
        <v>288.5</v>
      </c>
      <c r="E26" s="64">
        <f>IFERROR(D26/C26,"")</f>
        <v/>
      </c>
      <c r="F26" s="98" t="n">
        <v>3.15</v>
      </c>
      <c r="G26" s="62">
        <f>IFERROR(C26*F26,"")</f>
        <v/>
      </c>
    </row>
    <row r="27" ht="15" customHeight="1" s="52">
      <c r="A27" s="56" t="inlineStr">
        <is>
          <t>COLDRV5 18 HONDA ACCORD</t>
        </is>
      </c>
      <c r="B27" s="72" t="n">
        <v>45737</v>
      </c>
      <c r="C27" s="99" t="n">
        <v>11.32</v>
      </c>
      <c r="D27" s="58" t="n">
        <v>340.5</v>
      </c>
      <c r="E27" s="59">
        <f>IFERROR(D27/C27,"")</f>
        <v/>
      </c>
      <c r="F27" s="100" t="n">
        <v>3.03</v>
      </c>
      <c r="G27" s="57">
        <f>IFERROR(C27*F27,"")</f>
        <v/>
      </c>
    </row>
    <row r="28" ht="15" customHeight="1" s="52">
      <c r="A28" s="61" t="inlineStr">
        <is>
          <t>COLDRV2 17 NISSAN ALTIMA</t>
        </is>
      </c>
      <c r="B28" s="71" t="n">
        <v>45739</v>
      </c>
      <c r="C28" s="97" t="n">
        <v>13.61</v>
      </c>
      <c r="D28" s="63" t="n">
        <v>378.8</v>
      </c>
      <c r="E28" s="64">
        <f>IFERROR(D28/C28,"")</f>
        <v/>
      </c>
      <c r="F28" s="98" t="n">
        <v>3.03</v>
      </c>
      <c r="G28" s="62">
        <f>IFERROR(C28*F28,"")</f>
        <v/>
      </c>
    </row>
    <row r="29" ht="15" customHeight="1" s="52">
      <c r="A29" s="56" t="inlineStr">
        <is>
          <t>COLDRV3 17 TOY PRIUS</t>
        </is>
      </c>
      <c r="B29" s="72" t="n">
        <v>45741</v>
      </c>
      <c r="C29" s="99" t="n">
        <v>12.54</v>
      </c>
      <c r="D29" s="58" t="n">
        <v>410.1</v>
      </c>
      <c r="E29" s="59">
        <f>IFERROR(D29/C29,"")</f>
        <v/>
      </c>
      <c r="F29" s="100" t="n">
        <v>3.1</v>
      </c>
      <c r="G29" s="57">
        <f>IFERROR(C29*F29,"")</f>
        <v/>
      </c>
    </row>
    <row r="30" ht="15" customHeight="1" s="52">
      <c r="A30" s="61" t="inlineStr">
        <is>
          <t>COLDRV4 2015 HONDA ACCORD</t>
        </is>
      </c>
      <c r="B30" s="71" t="n">
        <v>45744</v>
      </c>
      <c r="C30" s="97" t="n">
        <v>10.49</v>
      </c>
      <c r="D30" s="63" t="n">
        <v>386</v>
      </c>
      <c r="E30" s="64">
        <f>IFERROR(D30/C30,"")</f>
        <v/>
      </c>
      <c r="F30" s="98" t="n">
        <v>3.21</v>
      </c>
      <c r="G30" s="62">
        <f>IFERROR(C30*F30,"")</f>
        <v/>
      </c>
    </row>
    <row r="31" ht="15" customHeight="1" s="52">
      <c r="A31" s="56" t="inlineStr">
        <is>
          <t>COLDRV1 22 TOY COR</t>
        </is>
      </c>
      <c r="B31" s="72" t="n">
        <v>45745</v>
      </c>
      <c r="C31" s="99" t="n">
        <v>13.42</v>
      </c>
      <c r="D31" s="58" t="n">
        <v>234.8</v>
      </c>
      <c r="E31" s="59">
        <f>IFERROR(D31/C31,"")</f>
        <v/>
      </c>
      <c r="F31" s="100" t="n">
        <v>3.19</v>
      </c>
      <c r="G31" s="57">
        <f>IFERROR(C31*F31,"")</f>
        <v/>
      </c>
    </row>
    <row r="32" ht="15" customHeight="1" s="52">
      <c r="A32" s="61" t="inlineStr">
        <is>
          <t>COLDRV5 18 HONDA ACCORD</t>
        </is>
      </c>
      <c r="B32" s="71" t="n">
        <v>45747</v>
      </c>
      <c r="C32" s="97" t="n">
        <v>9.41</v>
      </c>
      <c r="D32" s="63" t="n">
        <v>322.8</v>
      </c>
      <c r="E32" s="64">
        <f>IFERROR(D32/C32,"")</f>
        <v/>
      </c>
      <c r="F32" s="98" t="n">
        <v>3.16</v>
      </c>
      <c r="G32" s="62">
        <f>IFERROR(C32*F32,"")</f>
        <v/>
      </c>
    </row>
    <row r="33" ht="15" customHeight="1" s="52">
      <c r="A33" s="56" t="inlineStr">
        <is>
          <t>COLDRV8 21 TOY COR</t>
        </is>
      </c>
      <c r="B33" s="72" t="n">
        <v>45749</v>
      </c>
      <c r="C33" s="99" t="n">
        <v>12.03</v>
      </c>
      <c r="D33" s="58" t="n">
        <v>222</v>
      </c>
      <c r="E33" s="59">
        <f>IFERROR(D33/C33,"")</f>
        <v/>
      </c>
      <c r="F33" s="100" t="n">
        <v>3.19</v>
      </c>
      <c r="G33" s="57">
        <f>IFERROR(C33*F33,"")</f>
        <v/>
      </c>
    </row>
    <row r="34" ht="15" customHeight="1" s="52">
      <c r="A34" s="61" t="inlineStr">
        <is>
          <t>COLDRV4 2015 HONDA ACCORD</t>
        </is>
      </c>
      <c r="B34" s="71" t="n">
        <v>45753</v>
      </c>
      <c r="C34" s="97" t="n">
        <v>12.71</v>
      </c>
      <c r="D34" s="63" t="n">
        <v>321.2</v>
      </c>
      <c r="E34" s="64">
        <f>IFERROR(D34/C34,"")</f>
        <v/>
      </c>
      <c r="F34" s="98" t="n">
        <v>3.06</v>
      </c>
      <c r="G34" s="62">
        <f>IFERROR(C34*F34,"")</f>
        <v/>
      </c>
    </row>
    <row r="35" ht="15" customHeight="1" s="52">
      <c r="A35" s="56" t="inlineStr">
        <is>
          <t>COLDRV3 17 TOY PRIUS</t>
        </is>
      </c>
      <c r="B35" s="72" t="n">
        <v>45754</v>
      </c>
      <c r="C35" s="99" t="n">
        <v>9.779999999999999</v>
      </c>
      <c r="D35" s="58" t="n">
        <v>489.4</v>
      </c>
      <c r="E35" s="59">
        <f>IFERROR(D35/C35,"")</f>
        <v/>
      </c>
      <c r="F35" s="100" t="n">
        <v>3.29</v>
      </c>
      <c r="G35" s="57">
        <f>IFERROR(C35*F35,"")</f>
        <v/>
      </c>
    </row>
    <row r="36" ht="15" customHeight="1" s="52">
      <c r="A36" s="61" t="inlineStr">
        <is>
          <t>COLDRV1 22 TOY COR</t>
        </is>
      </c>
      <c r="B36" s="71" t="n">
        <v>45756</v>
      </c>
      <c r="C36" s="97" t="n">
        <v>7.81</v>
      </c>
      <c r="D36" s="63" t="n">
        <v>273.4</v>
      </c>
      <c r="E36" s="64">
        <f>IFERROR(D36/C36,"")</f>
        <v/>
      </c>
      <c r="F36" s="98" t="n">
        <v>2.95</v>
      </c>
      <c r="G36" s="62">
        <f>IFERROR(C36*F36,"")</f>
        <v/>
      </c>
    </row>
    <row r="37" ht="15" customHeight="1" s="52">
      <c r="A37" s="56" t="inlineStr">
        <is>
          <t>COLDRV2 17 NISSAN ALTIMA</t>
        </is>
      </c>
      <c r="B37" s="72" t="n">
        <v>45759</v>
      </c>
      <c r="C37" s="99" t="n">
        <v>13.93</v>
      </c>
      <c r="D37" s="58" t="n">
        <v>302.4</v>
      </c>
      <c r="E37" s="59">
        <f>IFERROR(D37/C37,"")</f>
        <v/>
      </c>
      <c r="F37" s="100" t="n">
        <v>3.51</v>
      </c>
      <c r="G37" s="57">
        <f>IFERROR(C37*F37,"")</f>
        <v/>
      </c>
    </row>
    <row r="38" ht="15" customHeight="1" s="52">
      <c r="A38" s="61" t="inlineStr">
        <is>
          <t>COLDRV4 2015 HONDA ACCORD</t>
        </is>
      </c>
      <c r="B38" s="71" t="n">
        <v>45763</v>
      </c>
      <c r="C38" s="97" t="n">
        <v>13.38</v>
      </c>
      <c r="D38" s="63" t="n">
        <v>291.6</v>
      </c>
      <c r="E38" s="64">
        <f>IFERROR(D38/C38,"")</f>
        <v/>
      </c>
      <c r="F38" s="98" t="n">
        <v>3.47</v>
      </c>
      <c r="G38" s="62">
        <f>IFERROR(C38*F38,"")</f>
        <v/>
      </c>
    </row>
    <row r="39" ht="15" customHeight="1" s="52">
      <c r="A39" s="56" t="inlineStr">
        <is>
          <t>COLDRV8 21 TOY COR</t>
        </is>
      </c>
      <c r="B39" s="72" t="n">
        <v>45763</v>
      </c>
      <c r="C39" s="99" t="n">
        <v>8.24</v>
      </c>
      <c r="D39" s="58" t="n">
        <v>373.7</v>
      </c>
      <c r="E39" s="59">
        <f>IFERROR(D39/C39,"")</f>
        <v/>
      </c>
      <c r="F39" s="100" t="n">
        <v>3.36</v>
      </c>
      <c r="G39" s="57">
        <f>IFERROR(C39*F39,"")</f>
        <v/>
      </c>
    </row>
    <row r="40" ht="15" customHeight="1" s="52">
      <c r="A40" s="61" t="inlineStr">
        <is>
          <t>COLDRV3 17 TOY PRIUS</t>
        </is>
      </c>
      <c r="B40" s="71" t="n">
        <v>45764</v>
      </c>
      <c r="C40" s="97" t="n">
        <v>10.44</v>
      </c>
      <c r="D40" s="63" t="n">
        <v>538.1</v>
      </c>
      <c r="E40" s="64">
        <f>IFERROR(D40/C40,"")</f>
        <v/>
      </c>
      <c r="F40" s="98" t="n">
        <v>3.39</v>
      </c>
      <c r="G40" s="62">
        <f>IFERROR(C40*F40,"")</f>
        <v/>
      </c>
    </row>
    <row r="41" ht="15" customHeight="1" s="52">
      <c r="A41" s="56" t="inlineStr">
        <is>
          <t>COLDRV5 18 HONDA ACCORD</t>
        </is>
      </c>
      <c r="B41" s="72" t="n">
        <v>45764</v>
      </c>
      <c r="C41" s="99" t="n">
        <v>12.25</v>
      </c>
      <c r="D41" s="58" t="n">
        <v>310.6</v>
      </c>
      <c r="E41" s="59">
        <f>IFERROR(D41/C41,"")</f>
        <v/>
      </c>
      <c r="F41" s="100" t="n">
        <v>2.98</v>
      </c>
      <c r="G41" s="57">
        <f>IFERROR(C41*F41,"")</f>
        <v/>
      </c>
    </row>
    <row r="42" ht="15" customHeight="1" s="52">
      <c r="A42" s="61" t="inlineStr">
        <is>
          <t>COLDRV1 22 TOY COR</t>
        </is>
      </c>
      <c r="B42" s="71" t="n">
        <v>45767</v>
      </c>
      <c r="C42" s="97" t="n">
        <v>8.630000000000001</v>
      </c>
      <c r="D42" s="63" t="n">
        <v>290.7</v>
      </c>
      <c r="E42" s="64">
        <f>IFERROR(D42/C42,"")</f>
        <v/>
      </c>
      <c r="F42" s="98" t="n">
        <v>3.41</v>
      </c>
      <c r="G42" s="62">
        <f>IFERROR(C42*F42,"")</f>
        <v/>
      </c>
    </row>
    <row r="43" ht="15" customHeight="1" s="52">
      <c r="A43" s="56" t="inlineStr">
        <is>
          <t>COLDRV4 2015 HONDA ACCORD</t>
        </is>
      </c>
      <c r="B43" s="72" t="n">
        <v>45777</v>
      </c>
      <c r="C43" s="99" t="n">
        <v>11.89</v>
      </c>
      <c r="D43" s="58" t="n">
        <v>291.2</v>
      </c>
      <c r="E43" s="59">
        <f>IFERROR(D43/C43,"")</f>
        <v/>
      </c>
      <c r="F43" s="100" t="n">
        <v>2.91</v>
      </c>
      <c r="G43" s="57">
        <f>IFERROR(C43*F43,"")</f>
        <v/>
      </c>
    </row>
    <row r="44" ht="15" customHeight="1" s="52">
      <c r="A44" s="61" t="inlineStr">
        <is>
          <t>COLDRV5 18 HONDA ACCORD</t>
        </is>
      </c>
      <c r="B44" s="71" t="n">
        <v>45778</v>
      </c>
      <c r="C44" s="97" t="n">
        <v>13.94</v>
      </c>
      <c r="D44" s="63" t="n">
        <v>397.1</v>
      </c>
      <c r="E44" s="64">
        <f>IFERROR(D44/C44,"")</f>
        <v/>
      </c>
      <c r="F44" s="98" t="n">
        <v>3.28</v>
      </c>
      <c r="G44" s="62">
        <f>IFERROR(C44*F44,"")</f>
        <v/>
      </c>
    </row>
    <row r="45" ht="15" customHeight="1" s="52">
      <c r="A45" s="56" t="inlineStr">
        <is>
          <t>COLDRV2 17 NISSAN ALTIMA</t>
        </is>
      </c>
      <c r="B45" s="72" t="n">
        <v>45779</v>
      </c>
      <c r="C45" s="99" t="n">
        <v>9.09</v>
      </c>
      <c r="D45" s="58" t="n">
        <v>253.5</v>
      </c>
      <c r="E45" s="59">
        <f>IFERROR(D45/C45,"")</f>
        <v/>
      </c>
      <c r="F45" s="100" t="n">
        <v>3</v>
      </c>
      <c r="G45" s="57">
        <f>IFERROR(C45*F45,"")</f>
        <v/>
      </c>
    </row>
    <row r="46" ht="15" customHeight="1" s="52">
      <c r="A46" s="61" t="inlineStr">
        <is>
          <t>COLDRV1 22 TOY COR</t>
        </is>
      </c>
      <c r="B46" s="71" t="n">
        <v>45782</v>
      </c>
      <c r="C46" s="97" t="n">
        <v>7.57</v>
      </c>
      <c r="D46" s="63" t="n">
        <v>232</v>
      </c>
      <c r="E46" s="64">
        <f>IFERROR(D46/C46,"")</f>
        <v/>
      </c>
      <c r="F46" s="98" t="n">
        <v>3.56</v>
      </c>
      <c r="G46" s="62">
        <f>IFERROR(C46*F46,"")</f>
        <v/>
      </c>
    </row>
    <row r="47" ht="15" customHeight="1" s="52">
      <c r="A47" s="56" t="inlineStr">
        <is>
          <t>COLDRV8 21 TOY COR</t>
        </is>
      </c>
      <c r="B47" s="72" t="n">
        <v>45783</v>
      </c>
      <c r="C47" s="99" t="n">
        <v>10.72</v>
      </c>
      <c r="D47" s="58" t="n">
        <v>244.5</v>
      </c>
      <c r="E47" s="59">
        <f>IFERROR(D47/C47,"")</f>
        <v/>
      </c>
      <c r="F47" s="100" t="n">
        <v>2.99</v>
      </c>
      <c r="G47" s="57">
        <f>IFERROR(C47*F47,"")</f>
        <v/>
      </c>
    </row>
    <row r="48" ht="15" customHeight="1" s="52">
      <c r="A48" s="61" t="inlineStr">
        <is>
          <t>COLDRV3 17 TOY PRIUS</t>
        </is>
      </c>
      <c r="B48" s="71" t="n">
        <v>45785</v>
      </c>
      <c r="C48" s="97" t="n">
        <v>8.720000000000001</v>
      </c>
      <c r="D48" s="63" t="n">
        <v>463.8</v>
      </c>
      <c r="E48" s="64">
        <f>IFERROR(D48/C48,"")</f>
        <v/>
      </c>
      <c r="F48" s="98" t="n">
        <v>3.17</v>
      </c>
      <c r="G48" s="62">
        <f>IFERROR(C48*F48,"")</f>
        <v/>
      </c>
    </row>
    <row r="49" ht="15" customHeight="1" s="52">
      <c r="A49" s="56" t="inlineStr">
        <is>
          <t>COLDRV4 2015 HONDA ACCORD</t>
        </is>
      </c>
      <c r="B49" s="72" t="n">
        <v>45788</v>
      </c>
      <c r="C49" s="99" t="n">
        <v>9.140000000000001</v>
      </c>
      <c r="D49" s="58" t="n">
        <v>300.4</v>
      </c>
      <c r="E49" s="59">
        <f>IFERROR(D49/C49,"")</f>
        <v/>
      </c>
      <c r="F49" s="100" t="n">
        <v>3.56</v>
      </c>
      <c r="G49" s="57">
        <f>IFERROR(C49*F49,"")</f>
        <v/>
      </c>
    </row>
    <row r="50" ht="15" customHeight="1" s="52">
      <c r="A50" s="61" t="inlineStr">
        <is>
          <t>COLDRV2 17 NISSAN ALTIMA</t>
        </is>
      </c>
      <c r="B50" s="71" t="n">
        <v>45791</v>
      </c>
      <c r="C50" s="97" t="n">
        <v>9.449999999999999</v>
      </c>
      <c r="D50" s="63" t="n">
        <v>260.4</v>
      </c>
      <c r="E50" s="64">
        <f>IFERROR(D50/C50,"")</f>
        <v/>
      </c>
      <c r="F50" s="98" t="n">
        <v>3.47</v>
      </c>
      <c r="G50" s="62">
        <f>IFERROR(C50*F50,"")</f>
        <v/>
      </c>
    </row>
    <row r="51" ht="15" customHeight="1" s="52">
      <c r="A51" s="56" t="inlineStr">
        <is>
          <t>COLDRV4 2015 HONDA ACCORD</t>
        </is>
      </c>
      <c r="B51" s="72" t="n">
        <v>45796</v>
      </c>
      <c r="C51" s="99" t="n">
        <v>8.470000000000001</v>
      </c>
      <c r="D51" s="58" t="n">
        <v>284.7</v>
      </c>
      <c r="E51" s="59">
        <f>IFERROR(D51/C51,"")</f>
        <v/>
      </c>
      <c r="F51" s="100" t="n">
        <v>3.41</v>
      </c>
      <c r="G51" s="57">
        <f>IFERROR(C51*F51,"")</f>
        <v/>
      </c>
    </row>
    <row r="52" ht="15" customHeight="1" s="52">
      <c r="A52" s="61" t="inlineStr">
        <is>
          <t>COLDRV8 21 TOY COR</t>
        </is>
      </c>
      <c r="B52" s="71" t="n">
        <v>45798</v>
      </c>
      <c r="C52" s="97" t="n">
        <v>14.26</v>
      </c>
      <c r="D52" s="63" t="n">
        <v>263.2</v>
      </c>
      <c r="E52" s="64">
        <f>IFERROR(D52/C52,"")</f>
        <v/>
      </c>
      <c r="F52" s="98" t="n">
        <v>3.5</v>
      </c>
      <c r="G52" s="62">
        <f>IFERROR(C52*F52,"")</f>
        <v/>
      </c>
    </row>
    <row r="53" ht="15" customHeight="1" s="52">
      <c r="A53" s="56" t="inlineStr">
        <is>
          <t>COLDRV5 18 HONDA ACCORD</t>
        </is>
      </c>
      <c r="B53" s="72" t="n">
        <v>45799</v>
      </c>
      <c r="C53" s="99" t="n">
        <v>10.26</v>
      </c>
      <c r="D53" s="58" t="n">
        <v>334.7</v>
      </c>
      <c r="E53" s="59">
        <f>IFERROR(D53/C53,"")</f>
        <v/>
      </c>
      <c r="F53" s="100" t="n">
        <v>2.87</v>
      </c>
      <c r="G53" s="57">
        <f>IFERROR(C53*F53,"")</f>
        <v/>
      </c>
    </row>
    <row r="54" ht="15" customHeight="1" s="52">
      <c r="A54" s="61" t="inlineStr">
        <is>
          <t>COLDRV1 22 TOY COR</t>
        </is>
      </c>
      <c r="B54" s="71" t="n">
        <v>45803</v>
      </c>
      <c r="C54" s="97" t="n">
        <v>8.539999999999999</v>
      </c>
      <c r="D54" s="63" t="n">
        <v>225.8</v>
      </c>
      <c r="E54" s="64">
        <f>IFERROR(D54/C54,"")</f>
        <v/>
      </c>
      <c r="F54" s="98" t="n">
        <v>3.15</v>
      </c>
      <c r="G54" s="62">
        <f>IFERROR(C54*F54,"")</f>
        <v/>
      </c>
    </row>
    <row r="55" ht="15" customHeight="1" s="52">
      <c r="A55" s="56" t="inlineStr">
        <is>
          <t>COLDRV2 17 NISSAN ALTIMA</t>
        </is>
      </c>
      <c r="B55" s="72" t="n">
        <v>45803</v>
      </c>
      <c r="C55" s="99" t="n">
        <v>11.99</v>
      </c>
      <c r="D55" s="58" t="n">
        <v>310</v>
      </c>
      <c r="E55" s="59">
        <f>IFERROR(D55/C55,"")</f>
        <v/>
      </c>
      <c r="F55" s="100" t="n">
        <v>3.63</v>
      </c>
      <c r="G55" s="57">
        <f>IFERROR(C55*F55,"")</f>
        <v/>
      </c>
    </row>
    <row r="56" ht="15" customHeight="1" s="52">
      <c r="A56" s="61" t="inlineStr">
        <is>
          <t>COLDRV3 17 TOY PRIUS</t>
        </is>
      </c>
      <c r="B56" s="71" t="n">
        <v>45805</v>
      </c>
      <c r="C56" s="97" t="n">
        <v>7.5</v>
      </c>
      <c r="D56" s="63" t="n">
        <v>407.4</v>
      </c>
      <c r="E56" s="64">
        <f>IFERROR(D56/C56,"")</f>
        <v/>
      </c>
      <c r="F56" s="98" t="n">
        <v>3.19</v>
      </c>
      <c r="G56" s="62">
        <f>IFERROR(C56*F56,"")</f>
        <v/>
      </c>
    </row>
    <row r="57" ht="15" customHeight="1" s="52">
      <c r="A57" s="56" t="inlineStr">
        <is>
          <t>COLDRV8 21 TOY COR</t>
        </is>
      </c>
      <c r="B57" s="72" t="n">
        <v>45813</v>
      </c>
      <c r="C57" s="99" t="n">
        <v>12.92</v>
      </c>
      <c r="D57" s="58" t="n">
        <v>294.4</v>
      </c>
      <c r="E57" s="59">
        <f>IFERROR(D57/C57,"")</f>
        <v/>
      </c>
      <c r="F57" s="100" t="n">
        <v>3.51</v>
      </c>
      <c r="G57" s="57">
        <f>IFERROR(C57*F57,"")</f>
        <v/>
      </c>
    </row>
    <row r="58" ht="15" customHeight="1" s="52">
      <c r="A58" s="61" t="inlineStr">
        <is>
          <t>COLDRV4 2015 HONDA ACCORD</t>
        </is>
      </c>
      <c r="B58" s="71" t="n">
        <v>45814</v>
      </c>
      <c r="C58" s="97" t="n">
        <v>9</v>
      </c>
      <c r="D58" s="63" t="n">
        <v>312.2</v>
      </c>
      <c r="E58" s="64">
        <f>IFERROR(D58/C58,"")</f>
        <v/>
      </c>
      <c r="F58" s="98" t="n">
        <v>3.11</v>
      </c>
      <c r="G58" s="62">
        <f>IFERROR(C58*F58,"")</f>
        <v/>
      </c>
    </row>
    <row r="59" ht="15" customHeight="1" s="52">
      <c r="A59" s="56" t="inlineStr">
        <is>
          <t>COLDRV5 18 HONDA ACCORD</t>
        </is>
      </c>
      <c r="B59" s="72" t="n">
        <v>45816</v>
      </c>
      <c r="C59" s="99" t="n">
        <v>10.5</v>
      </c>
      <c r="D59" s="58" t="n">
        <v>380</v>
      </c>
      <c r="E59" s="59">
        <f>IFERROR(D59/C59,"")</f>
        <v/>
      </c>
      <c r="F59" s="100" t="n">
        <v>3</v>
      </c>
      <c r="G59" s="57">
        <f>IFERROR(C59*F59,"")</f>
        <v/>
      </c>
    </row>
    <row r="60" ht="15" customHeight="1" s="52">
      <c r="A60" s="61" t="inlineStr">
        <is>
          <t>COLDRV1 22 TOY COR</t>
        </is>
      </c>
      <c r="B60" s="71" t="n">
        <v>45818</v>
      </c>
      <c r="C60" s="97" t="n">
        <v>8.539999999999999</v>
      </c>
      <c r="D60" s="63" t="n">
        <v>240.4</v>
      </c>
      <c r="E60" s="64">
        <f>IFERROR(D60/C60,"")</f>
        <v/>
      </c>
      <c r="F60" s="98" t="n">
        <v>3.1</v>
      </c>
      <c r="G60" s="62">
        <f>IFERROR(C60*F60,"")</f>
        <v/>
      </c>
    </row>
    <row r="61" ht="15" customHeight="1" s="52">
      <c r="A61" s="56" t="inlineStr">
        <is>
          <t>COLDRV2 17 NISSAN ALTIMA</t>
        </is>
      </c>
      <c r="B61" s="72" t="n">
        <v>45818</v>
      </c>
      <c r="C61" s="99" t="n">
        <v>9.82</v>
      </c>
      <c r="D61" s="58" t="n">
        <v>254.1</v>
      </c>
      <c r="E61" s="59">
        <f>IFERROR(D61/C61,"")</f>
        <v/>
      </c>
      <c r="F61" s="100" t="n">
        <v>3.55</v>
      </c>
      <c r="G61" s="57">
        <f>IFERROR(C61*F61,"")</f>
        <v/>
      </c>
    </row>
    <row r="62" ht="15" customHeight="1" s="52">
      <c r="A62" s="61" t="inlineStr">
        <is>
          <t>COLDRV3 17 TOY PRIUS</t>
        </is>
      </c>
      <c r="B62" s="71" t="n">
        <v>45821</v>
      </c>
      <c r="C62" s="97" t="n">
        <v>11.75</v>
      </c>
      <c r="D62" s="63" t="n">
        <v>414.4</v>
      </c>
      <c r="E62" s="64">
        <f>IFERROR(D62/C62,"")</f>
        <v/>
      </c>
      <c r="F62" s="98" t="n">
        <v>3.2</v>
      </c>
      <c r="G62" s="62">
        <f>IFERROR(C62*F62,"")</f>
        <v/>
      </c>
    </row>
    <row r="63" ht="15" customHeight="1" s="52">
      <c r="A63" s="56" t="inlineStr">
        <is>
          <t>COLDRV5 18 HONDA ACCORD</t>
        </is>
      </c>
      <c r="B63" s="72" t="n">
        <v>45827</v>
      </c>
      <c r="C63" s="99" t="n">
        <v>10.15</v>
      </c>
      <c r="D63" s="58" t="n">
        <v>281.7</v>
      </c>
      <c r="E63" s="59">
        <f>IFERROR(D63/C63,"")</f>
        <v/>
      </c>
      <c r="F63" s="100" t="n">
        <v>3.11</v>
      </c>
      <c r="G63" s="57">
        <f>IFERROR(C63*F63,"")</f>
        <v/>
      </c>
    </row>
    <row r="64" ht="15" customHeight="1" s="52">
      <c r="A64" s="61" t="inlineStr">
        <is>
          <t>COLDRV4 2015 HONDA ACCORD</t>
        </is>
      </c>
      <c r="B64" s="71" t="n">
        <v>45828</v>
      </c>
      <c r="C64" s="97" t="n">
        <v>10.41</v>
      </c>
      <c r="D64" s="63" t="n">
        <v>281</v>
      </c>
      <c r="E64" s="64">
        <f>IFERROR(D64/C64,"")</f>
        <v/>
      </c>
      <c r="F64" s="98" t="n">
        <v>3.19</v>
      </c>
      <c r="G64" s="62">
        <f>IFERROR(C64*F64,"")</f>
        <v/>
      </c>
    </row>
    <row r="65" ht="15" customHeight="1" s="52">
      <c r="A65" s="56" t="inlineStr">
        <is>
          <t>COLDRV2 17 NISSAN ALTIMA</t>
        </is>
      </c>
      <c r="B65" s="72" t="n">
        <v>45829</v>
      </c>
      <c r="C65" s="99" t="n">
        <v>8.75</v>
      </c>
      <c r="D65" s="58" t="n">
        <v>394.4</v>
      </c>
      <c r="E65" s="59">
        <f>IFERROR(D65/C65,"")</f>
        <v/>
      </c>
      <c r="F65" s="100" t="n">
        <v>3.06</v>
      </c>
      <c r="G65" s="57">
        <f>IFERROR(C65*F65,"")</f>
        <v/>
      </c>
    </row>
    <row r="66" ht="15" customHeight="1" s="52">
      <c r="A66" s="61" t="inlineStr">
        <is>
          <t>COLDRV8 21 TOY COR</t>
        </is>
      </c>
      <c r="B66" s="71" t="n">
        <v>45829</v>
      </c>
      <c r="C66" s="97" t="n">
        <v>9.380000000000001</v>
      </c>
      <c r="D66" s="63" t="n">
        <v>356.3</v>
      </c>
      <c r="E66" s="64">
        <f>IFERROR(D66/C66,"")</f>
        <v/>
      </c>
      <c r="F66" s="98" t="n">
        <v>3.51</v>
      </c>
      <c r="G66" s="62">
        <f>IFERROR(C66*F66,"")</f>
        <v/>
      </c>
    </row>
    <row r="67" ht="15" customHeight="1" s="52">
      <c r="A67" s="56" t="inlineStr">
        <is>
          <t>COLDRV2 17 NISSAN ALTIMA</t>
        </is>
      </c>
      <c r="B67" s="72" t="n">
        <v>45837</v>
      </c>
      <c r="C67" s="99" t="n">
        <v>11.68</v>
      </c>
      <c r="D67" s="58" t="n">
        <v>301.9</v>
      </c>
      <c r="E67" s="59">
        <f>IFERROR(D67/C67,"")</f>
        <v/>
      </c>
      <c r="F67" s="100" t="n">
        <v>3.48</v>
      </c>
      <c r="G67" s="57">
        <f>IFERROR(C67*F67,"")</f>
        <v/>
      </c>
    </row>
    <row r="68" ht="15" customHeight="1" s="52">
      <c r="A68" s="61" t="inlineStr">
        <is>
          <t>COLDRV8 21 TOY COR</t>
        </is>
      </c>
      <c r="B68" s="71" t="n">
        <v>45837</v>
      </c>
      <c r="C68" s="97" t="n">
        <v>9.449999999999999</v>
      </c>
      <c r="D68" s="63" t="n">
        <v>292.1</v>
      </c>
      <c r="E68" s="64">
        <f>IFERROR(D68/C68,"")</f>
        <v/>
      </c>
      <c r="F68" s="98" t="n">
        <v>3.45</v>
      </c>
      <c r="G68" s="62">
        <f>IFERROR(C68*F68,"")</f>
        <v/>
      </c>
    </row>
    <row r="69" ht="15" customHeight="1" s="52">
      <c r="A69" s="56" t="inlineStr">
        <is>
          <t>COLDRV3 17 TOY PRIUS</t>
        </is>
      </c>
      <c r="B69" s="72" t="n">
        <v>45838</v>
      </c>
      <c r="C69" s="99" t="n">
        <v>9</v>
      </c>
      <c r="D69" s="58" t="n">
        <v>444.6</v>
      </c>
      <c r="E69" s="59">
        <f>IFERROR(D69/C69,"")</f>
        <v/>
      </c>
      <c r="F69" s="100" t="n">
        <v>3.57</v>
      </c>
      <c r="G69" s="57">
        <f>IFERROR(C69*F69,"")</f>
        <v/>
      </c>
    </row>
    <row r="70" ht="15" customHeight="1" s="52">
      <c r="A70" s="61" t="inlineStr">
        <is>
          <t>COLDRV1 22 TOY COR</t>
        </is>
      </c>
      <c r="B70" s="71" t="n">
        <v>45839</v>
      </c>
      <c r="C70" s="97" t="n">
        <v>14.03</v>
      </c>
      <c r="D70" s="63" t="n">
        <v>375.6</v>
      </c>
      <c r="E70" s="64">
        <f>IFERROR(D70/C70,"")</f>
        <v/>
      </c>
      <c r="F70" s="98" t="n">
        <v>2.88</v>
      </c>
      <c r="G70" s="62">
        <f>IFERROR(C70*F70,"")</f>
        <v/>
      </c>
    </row>
    <row r="71" ht="15" customHeight="1" s="52">
      <c r="A71" s="56" t="inlineStr">
        <is>
          <t>COLDRV5 18 HONDA ACCORD</t>
        </is>
      </c>
      <c r="B71" s="72" t="n">
        <v>45846</v>
      </c>
      <c r="C71" s="99" t="n">
        <v>13.66</v>
      </c>
      <c r="D71" s="58" t="n">
        <v>291.7</v>
      </c>
      <c r="E71" s="59">
        <f>IFERROR(D71/C71,"")</f>
        <v/>
      </c>
      <c r="F71" s="100" t="n">
        <v>3.61</v>
      </c>
      <c r="G71" s="57">
        <f>IFERROR(C71*F71,"")</f>
        <v/>
      </c>
    </row>
    <row r="72" ht="15" customHeight="1" s="52">
      <c r="A72" s="61" t="inlineStr">
        <is>
          <t>COLDRV2 17 NISSAN ALTIMA</t>
        </is>
      </c>
      <c r="B72" s="71" t="n">
        <v>45850</v>
      </c>
      <c r="C72" s="97" t="n">
        <v>11.74</v>
      </c>
      <c r="D72" s="63" t="n">
        <v>326.7</v>
      </c>
      <c r="E72" s="64">
        <f>IFERROR(D72/C72,"")</f>
        <v/>
      </c>
      <c r="F72" s="98" t="n">
        <v>3.16</v>
      </c>
      <c r="G72" s="62">
        <f>IFERROR(C72*F72,"")</f>
        <v/>
      </c>
    </row>
    <row r="73" ht="15" customHeight="1" s="52">
      <c r="A73" s="56" t="inlineStr">
        <is>
          <t>COLDRV1 22 TOY COR</t>
        </is>
      </c>
      <c r="B73" s="72" t="n">
        <v>45851</v>
      </c>
      <c r="C73" s="99" t="n">
        <v>8.970000000000001</v>
      </c>
      <c r="D73" s="58" t="n">
        <v>259.9</v>
      </c>
      <c r="E73" s="59">
        <f>IFERROR(D73/C73,"")</f>
        <v/>
      </c>
      <c r="F73" s="100" t="n">
        <v>2.93</v>
      </c>
      <c r="G73" s="57">
        <f>IFERROR(C73*F73,"")</f>
        <v/>
      </c>
    </row>
    <row r="74" ht="15" customHeight="1" s="52">
      <c r="A74" s="61" t="inlineStr">
        <is>
          <t>COLDRV8 21 TOY COR</t>
        </is>
      </c>
      <c r="B74" s="71" t="n">
        <v>45853</v>
      </c>
      <c r="C74" s="97" t="n">
        <v>11.77</v>
      </c>
      <c r="D74" s="63" t="n">
        <v>280.6</v>
      </c>
      <c r="E74" s="64">
        <f>IFERROR(D74/C74,"")</f>
        <v/>
      </c>
      <c r="F74" s="98" t="n">
        <v>2.87</v>
      </c>
      <c r="G74" s="62">
        <f>IFERROR(C74*F74,"")</f>
        <v/>
      </c>
    </row>
    <row r="75" ht="15" customHeight="1" s="52">
      <c r="A75" s="56" t="inlineStr">
        <is>
          <t>COLDRV3 17 TOY PRIUS</t>
        </is>
      </c>
      <c r="B75" s="72" t="n">
        <v>45857</v>
      </c>
      <c r="C75" s="99" t="n">
        <v>12.65</v>
      </c>
      <c r="D75" s="58" t="n">
        <v>481.8</v>
      </c>
      <c r="E75" s="59">
        <f>IFERROR(D75/C75,"")</f>
        <v/>
      </c>
      <c r="F75" s="100" t="n">
        <v>3.08</v>
      </c>
      <c r="G75" s="57">
        <f>IFERROR(C75*F75,"")</f>
        <v/>
      </c>
    </row>
    <row r="76" ht="15" customHeight="1" s="52">
      <c r="A76" s="61" t="inlineStr">
        <is>
          <t>COLDRV5 18 HONDA ACCORD</t>
        </is>
      </c>
      <c r="B76" s="71" t="n">
        <v>45859</v>
      </c>
      <c r="C76" s="97" t="n">
        <v>9.27</v>
      </c>
      <c r="D76" s="63" t="n">
        <v>262.3</v>
      </c>
      <c r="E76" s="64">
        <f>IFERROR(D76/C76,"")</f>
        <v/>
      </c>
      <c r="F76" s="98" t="n">
        <v>2.87</v>
      </c>
      <c r="G76" s="62">
        <f>IFERROR(C76*F76,"")</f>
        <v/>
      </c>
    </row>
    <row r="77" ht="15" customHeight="1" s="52">
      <c r="A77" s="56" t="inlineStr">
        <is>
          <t>COLDRV1 22 TOY COR</t>
        </is>
      </c>
      <c r="B77" s="72" t="n">
        <v>45870</v>
      </c>
      <c r="C77" s="99" t="n">
        <v>11.42</v>
      </c>
      <c r="D77" s="58" t="n">
        <v>360</v>
      </c>
      <c r="E77" s="59">
        <f>IFERROR(D77/C77,"")</f>
        <v/>
      </c>
      <c r="F77" s="100" t="n">
        <v>3.63</v>
      </c>
      <c r="G77" s="57">
        <f>IFERROR(C77*F77,"")</f>
        <v/>
      </c>
    </row>
    <row r="78" ht="15" customHeight="1" s="52">
      <c r="A78" s="61" t="inlineStr">
        <is>
          <t>COLDRV8 21 TOY COR</t>
        </is>
      </c>
      <c r="B78" s="71" t="n">
        <v>45873</v>
      </c>
      <c r="C78" s="97" t="n">
        <v>9.779999999999999</v>
      </c>
      <c r="D78" s="63" t="n">
        <v>298</v>
      </c>
      <c r="E78" s="64">
        <f>IFERROR(D78/C78,"")</f>
        <v/>
      </c>
      <c r="F78" s="98" t="n">
        <v>3.13</v>
      </c>
      <c r="G78" s="62">
        <f>IFERROR(C78*F78,"")</f>
        <v/>
      </c>
    </row>
    <row r="79" ht="15" customHeight="1" s="52">
      <c r="A79" s="56" t="inlineStr">
        <is>
          <t>COLDRV3 17 TOY PRIUS</t>
        </is>
      </c>
      <c r="B79" s="72" t="n">
        <v>45874</v>
      </c>
      <c r="C79" s="99" t="n">
        <v>11.93</v>
      </c>
      <c r="D79" s="58" t="n">
        <v>417</v>
      </c>
      <c r="E79" s="59">
        <f>IFERROR(D79/C79,"")</f>
        <v/>
      </c>
      <c r="F79" s="100" t="n">
        <v>3.5</v>
      </c>
      <c r="G79" s="57">
        <f>IFERROR(C79*F79,"")</f>
        <v/>
      </c>
    </row>
    <row r="80" ht="15" customHeight="1" s="52">
      <c r="A80" s="61" t="inlineStr">
        <is>
          <t>COLDRV5 18 HONDA ACCORD</t>
        </is>
      </c>
      <c r="B80" s="71" t="n">
        <v>45874</v>
      </c>
      <c r="C80" s="97" t="n">
        <v>7.86</v>
      </c>
      <c r="D80" s="63" t="n">
        <v>392.8</v>
      </c>
      <c r="E80" s="64">
        <f>IFERROR(D80/C80,"")</f>
        <v/>
      </c>
      <c r="F80" s="98" t="n">
        <v>3.03</v>
      </c>
      <c r="G80" s="62">
        <f>IFERROR(C80*F80,"")</f>
        <v/>
      </c>
    </row>
    <row r="81" ht="15" customHeight="1" s="52">
      <c r="A81" s="56" t="inlineStr">
        <is>
          <t>COLDRV5 18 HONDA ACCORD</t>
        </is>
      </c>
      <c r="B81" s="72" t="n">
        <v>45882</v>
      </c>
      <c r="C81" s="99" t="n">
        <v>12.97</v>
      </c>
      <c r="D81" s="58" t="n">
        <v>347.8</v>
      </c>
      <c r="E81" s="59">
        <f>IFERROR(D81/C81,"")</f>
        <v/>
      </c>
      <c r="F81" s="100" t="n">
        <v>3.45</v>
      </c>
      <c r="G81" s="57">
        <f>IFERROR(C81*F81,"")</f>
        <v/>
      </c>
    </row>
    <row r="82" ht="15" customHeight="1" s="52">
      <c r="A82" s="61" t="inlineStr">
        <is>
          <t>COLDRV1 22 TOY COR</t>
        </is>
      </c>
      <c r="B82" s="71" t="n">
        <v>45888</v>
      </c>
      <c r="C82" s="97" t="n">
        <v>8.58</v>
      </c>
      <c r="D82" s="63" t="n">
        <v>368.8</v>
      </c>
      <c r="E82" s="64">
        <f>IFERROR(D82/C82,"")</f>
        <v/>
      </c>
      <c r="F82" s="98" t="n">
        <v>3.54</v>
      </c>
      <c r="G82" s="62">
        <f>IFERROR(C82*F82,"")</f>
        <v/>
      </c>
    </row>
    <row r="83" ht="15" customHeight="1" s="52">
      <c r="A83" s="56" t="inlineStr">
        <is>
          <t>COLDRV5 18 HONDA ACCORD</t>
        </is>
      </c>
      <c r="B83" s="72" t="n">
        <v>45892</v>
      </c>
      <c r="C83" s="99" t="n">
        <v>8.9</v>
      </c>
      <c r="D83" s="58" t="n">
        <v>253.1</v>
      </c>
      <c r="E83" s="59">
        <f>IFERROR(D83/C83,"")</f>
        <v/>
      </c>
      <c r="F83" s="100" t="n">
        <v>2.97</v>
      </c>
      <c r="G83" s="57">
        <f>IFERROR(C83*F83,"")</f>
        <v/>
      </c>
    </row>
    <row r="84" ht="15" customHeight="1" s="52">
      <c r="A84" s="61" t="inlineStr">
        <is>
          <t>COLDRV3 17 TOY PRIUS</t>
        </is>
      </c>
      <c r="B84" s="71" t="n">
        <v>45893</v>
      </c>
      <c r="C84" s="97" t="n">
        <v>9.140000000000001</v>
      </c>
      <c r="D84" s="63" t="n">
        <v>412.1</v>
      </c>
      <c r="E84" s="64">
        <f>IFERROR(D84/C84,"")</f>
        <v/>
      </c>
      <c r="F84" s="98" t="n">
        <v>3.5</v>
      </c>
      <c r="G84" s="62">
        <f>IFERROR(C84*F84,"")</f>
        <v/>
      </c>
    </row>
    <row r="85" ht="15" customHeight="1" s="52">
      <c r="A85" s="56" t="inlineStr">
        <is>
          <t>COLDRV5 18 HONDA ACCORD</t>
        </is>
      </c>
      <c r="B85" s="72" t="n">
        <v>45901</v>
      </c>
      <c r="C85" s="99" t="n">
        <v>10.81</v>
      </c>
      <c r="D85" s="58" t="n">
        <v>267.2</v>
      </c>
      <c r="E85" s="59">
        <f>IFERROR(D85/C85,"")</f>
        <v/>
      </c>
      <c r="F85" s="100" t="n">
        <v>3.61</v>
      </c>
      <c r="G85" s="57">
        <f>IFERROR(C85*F85,"")</f>
        <v/>
      </c>
    </row>
    <row r="86" ht="15" customHeight="1" s="52">
      <c r="A86" s="61" t="inlineStr">
        <is>
          <t>COLDRV3 17 TOY PRIUS</t>
        </is>
      </c>
      <c r="B86" s="71" t="n">
        <v>45902</v>
      </c>
      <c r="C86" s="97" t="n">
        <v>7.67</v>
      </c>
      <c r="D86" s="63" t="n">
        <v>399</v>
      </c>
      <c r="E86" s="64">
        <f>IFERROR(D86/C86,"")</f>
        <v/>
      </c>
      <c r="F86" s="98" t="n">
        <v>3.23</v>
      </c>
      <c r="G86" s="62">
        <f>IFERROR(C86*F86,"")</f>
        <v/>
      </c>
    </row>
    <row r="87" ht="15" customHeight="1" s="52">
      <c r="A87" s="56" t="inlineStr">
        <is>
          <t>COLDRV5 18 HONDA ACCORD</t>
        </is>
      </c>
      <c r="B87" s="72" t="n">
        <v>45915</v>
      </c>
      <c r="C87" s="99" t="n">
        <v>12.4</v>
      </c>
      <c r="D87" s="58" t="n">
        <v>365</v>
      </c>
      <c r="E87" s="59">
        <f>IFERROR(D87/C87,"")</f>
        <v/>
      </c>
      <c r="F87" s="100" t="n">
        <v>2.98</v>
      </c>
      <c r="G87" s="57">
        <f>IFERROR(C87*F87,"")</f>
        <v/>
      </c>
    </row>
    <row r="88" ht="15" customHeight="1" s="52">
      <c r="A88" s="61" t="inlineStr">
        <is>
          <t>COLDRV3 17 TOY PRIUS</t>
        </is>
      </c>
      <c r="B88" s="71" t="n">
        <v>45922</v>
      </c>
      <c r="C88" s="97" t="n">
        <v>12.88</v>
      </c>
      <c r="D88" s="63" t="n">
        <v>441.1</v>
      </c>
      <c r="E88" s="64">
        <f>IFERROR(D88/C88,"")</f>
        <v/>
      </c>
      <c r="F88" s="98" t="n">
        <v>3.56</v>
      </c>
      <c r="G88" s="62">
        <f>IFERROR(C88*F88,"")</f>
        <v/>
      </c>
    </row>
    <row r="89" ht="15" customHeight="1" s="52">
      <c r="A89" s="56" t="inlineStr">
        <is>
          <t>COLDRV5 18 HONDA ACCORD</t>
        </is>
      </c>
      <c r="B89" s="72" t="n">
        <v>45931</v>
      </c>
      <c r="C89" s="99" t="n">
        <v>14.25</v>
      </c>
      <c r="D89" s="58" t="n">
        <v>357.8</v>
      </c>
      <c r="E89" s="59">
        <f>IFERROR(D89/C89,"")</f>
        <v/>
      </c>
      <c r="F89" s="100" t="n">
        <v>3.47</v>
      </c>
      <c r="G89" s="57">
        <f>IFERROR(C89*F89,"")</f>
        <v/>
      </c>
    </row>
    <row r="90" ht="15" customHeight="1" s="52">
      <c r="A90" s="61" t="inlineStr">
        <is>
          <t>COLDRV3 17 TOY PRIUS</t>
        </is>
      </c>
      <c r="B90" s="71" t="n">
        <v>45938</v>
      </c>
      <c r="C90" s="97" t="n">
        <v>8.859999999999999</v>
      </c>
      <c r="D90" s="63" t="n">
        <v>489.3</v>
      </c>
      <c r="E90" s="64">
        <f>IFERROR(D90/C90,"")</f>
        <v/>
      </c>
      <c r="F90" s="98" t="n">
        <v>3.25</v>
      </c>
      <c r="G90" s="62">
        <f>IFERROR(C90*F90,"")</f>
        <v/>
      </c>
    </row>
    <row r="91" ht="15" customHeight="1" s="52">
      <c r="A91" s="56" t="inlineStr">
        <is>
          <t>COLDRV5 18 HONDA ACCORD</t>
        </is>
      </c>
      <c r="B91" s="72" t="n">
        <v>45940</v>
      </c>
      <c r="C91" s="99" t="n">
        <v>14.25</v>
      </c>
      <c r="D91" s="58" t="n">
        <v>266.2</v>
      </c>
      <c r="E91" s="59">
        <f>IFERROR(D91/C91,"")</f>
        <v/>
      </c>
      <c r="F91" s="100" t="n">
        <v>2.87</v>
      </c>
      <c r="G91" s="57">
        <f>IFERROR(C91*F91,"")</f>
        <v/>
      </c>
    </row>
    <row r="92" ht="15" customHeight="1" s="52">
      <c r="A92" s="61" t="inlineStr">
        <is>
          <t>COLDRV3 17 TOY PRIUS</t>
        </is>
      </c>
      <c r="B92" s="71" t="n">
        <v>45948</v>
      </c>
      <c r="C92" s="97" t="n">
        <v>8.529999999999999</v>
      </c>
      <c r="D92" s="63" t="n">
        <v>487.5</v>
      </c>
      <c r="E92" s="64">
        <f>IFERROR(D92/C92,"")</f>
        <v/>
      </c>
      <c r="F92" s="98" t="n">
        <v>3.56</v>
      </c>
      <c r="G92" s="62">
        <f>IFERROR(C92*F92,"")</f>
        <v/>
      </c>
    </row>
    <row r="93" ht="15" customHeight="1" s="52">
      <c r="A93" s="56" t="inlineStr">
        <is>
          <t>COLDRV3 17 TOY PRIUS</t>
        </is>
      </c>
      <c r="B93" s="72" t="n">
        <v>45968</v>
      </c>
      <c r="C93" s="99" t="n">
        <v>12.89</v>
      </c>
      <c r="D93" s="58" t="n">
        <v>371.3</v>
      </c>
      <c r="E93" s="59">
        <f>IFERROR(D93/C93,"")</f>
        <v/>
      </c>
      <c r="F93" s="100" t="n">
        <v>3.19</v>
      </c>
      <c r="G93" s="57">
        <f>IFERROR(C93*F93,"")</f>
        <v/>
      </c>
    </row>
    <row r="94" ht="15" customHeight="1" s="52">
      <c r="A94" s="61" t="n"/>
      <c r="B94" s="75" t="n"/>
      <c r="C94" s="97" t="n"/>
      <c r="D94" s="63" t="n"/>
      <c r="E94" s="64">
        <f>IFERROR(D94/C94,"")</f>
        <v/>
      </c>
      <c r="F94" s="98" t="n"/>
      <c r="G94" s="62">
        <f>IFERROR(C94*F94,"")</f>
        <v/>
      </c>
    </row>
    <row r="95" ht="15" customHeight="1" s="52">
      <c r="A95" s="56" t="n"/>
      <c r="B95" s="74" t="n"/>
      <c r="C95" s="99" t="n"/>
      <c r="D95" s="58" t="n"/>
      <c r="E95" s="59">
        <f>IFERROR(D95/C95,"")</f>
        <v/>
      </c>
      <c r="F95" s="100" t="n"/>
      <c r="G95" s="57">
        <f>IFERROR(C95*F95,"")</f>
        <v/>
      </c>
    </row>
    <row r="96" ht="15" customHeight="1" s="52">
      <c r="A96" s="61" t="n"/>
      <c r="B96" s="75" t="n"/>
      <c r="C96" s="97" t="n"/>
      <c r="D96" s="63" t="n"/>
      <c r="E96" s="64">
        <f>IFERROR(D96/C96,"")</f>
        <v/>
      </c>
      <c r="F96" s="98" t="n"/>
      <c r="G96" s="62">
        <f>IFERROR(C96*F96,"")</f>
        <v/>
      </c>
    </row>
    <row r="97" ht="15" customHeight="1" s="52">
      <c r="A97" s="56" t="n"/>
      <c r="B97" s="74" t="n"/>
      <c r="C97" s="99" t="n"/>
      <c r="D97" s="58" t="n"/>
      <c r="E97" s="59">
        <f>IFERROR(D97/C97,"")</f>
        <v/>
      </c>
      <c r="F97" s="100" t="n"/>
      <c r="G97" s="57">
        <f>IFERROR(C97*F97,"")</f>
        <v/>
      </c>
    </row>
    <row r="98" ht="15" customHeight="1" s="52">
      <c r="A98" s="61" t="n"/>
      <c r="B98" s="75" t="n"/>
      <c r="C98" s="97" t="n"/>
      <c r="D98" s="63" t="n"/>
      <c r="E98" s="64">
        <f>IFERROR(D98/C98,"")</f>
        <v/>
      </c>
      <c r="F98" s="98" t="n"/>
      <c r="G98" s="62">
        <f>IFERROR(C98*F98,"")</f>
        <v/>
      </c>
    </row>
    <row r="99" ht="15" customHeight="1" s="52">
      <c r="A99" s="56" t="n"/>
      <c r="B99" s="74" t="n"/>
      <c r="C99" s="99" t="n"/>
      <c r="D99" s="58" t="n"/>
      <c r="E99" s="59">
        <f>IFERROR(D99/C99,"")</f>
        <v/>
      </c>
      <c r="F99" s="100" t="n"/>
      <c r="G99" s="57">
        <f>IFERROR(C99*F99,"")</f>
        <v/>
      </c>
    </row>
    <row r="100" ht="15" customHeight="1" s="52">
      <c r="A100" s="61" t="n"/>
      <c r="B100" s="75" t="n"/>
      <c r="C100" s="97" t="n"/>
      <c r="D100" s="63" t="n"/>
      <c r="E100" s="64">
        <f>IFERROR(D100/C100,"")</f>
        <v/>
      </c>
      <c r="F100" s="98" t="n"/>
      <c r="G100" s="62">
        <f>IFERROR(C100*F100,"")</f>
        <v/>
      </c>
    </row>
    <row r="101" ht="15" customHeight="1" s="52">
      <c r="A101" s="56" t="n"/>
      <c r="B101" s="74" t="n"/>
      <c r="C101" s="99" t="n"/>
      <c r="D101" s="58" t="n"/>
      <c r="E101" s="59">
        <f>IFERROR(D101/C101,"")</f>
        <v/>
      </c>
      <c r="F101" s="100" t="n"/>
      <c r="G101" s="57">
        <f>IFERROR(C101*F101,"")</f>
        <v/>
      </c>
    </row>
    <row r="102" ht="15" customHeight="1" s="52">
      <c r="A102" s="61" t="n"/>
      <c r="B102" s="75" t="n"/>
      <c r="C102" s="97" t="n"/>
      <c r="D102" s="63" t="n"/>
      <c r="E102" s="64">
        <f>IFERROR(D102/C102,"")</f>
        <v/>
      </c>
      <c r="F102" s="98" t="n"/>
      <c r="G102" s="62">
        <f>IFERROR(C102*F102,"")</f>
        <v/>
      </c>
    </row>
    <row r="103" ht="15" customHeight="1" s="52">
      <c r="A103" s="56" t="n"/>
      <c r="B103" s="74" t="n"/>
      <c r="C103" s="99" t="n"/>
      <c r="D103" s="58" t="n"/>
      <c r="E103" s="59">
        <f>IFERROR(D103/C103,"")</f>
        <v/>
      </c>
      <c r="F103" s="100" t="n"/>
      <c r="G103" s="57">
        <f>IFERROR(C103*F103,"")</f>
        <v/>
      </c>
    </row>
    <row r="104" ht="15" customHeight="1" s="52">
      <c r="A104" s="61" t="n"/>
      <c r="B104" s="75" t="n"/>
      <c r="C104" s="97" t="n"/>
      <c r="D104" s="63" t="n"/>
      <c r="E104" s="64">
        <f>IFERROR(D104/C104,"")</f>
        <v/>
      </c>
      <c r="F104" s="98" t="n"/>
      <c r="G104" s="62">
        <f>IFERROR(C104*F104,"")</f>
        <v/>
      </c>
    </row>
    <row r="105" ht="15" customHeight="1" s="52">
      <c r="A105" s="56" t="n"/>
      <c r="B105" s="74" t="n"/>
      <c r="C105" s="99" t="n"/>
      <c r="D105" s="58" t="n"/>
      <c r="E105" s="59">
        <f>IFERROR(D105/C105,"")</f>
        <v/>
      </c>
      <c r="F105" s="100" t="n"/>
      <c r="G105" s="57">
        <f>IFERROR(C105*F105,"")</f>
        <v/>
      </c>
    </row>
    <row r="106" ht="15" customHeight="1" s="52">
      <c r="A106" s="61" t="n"/>
      <c r="B106" s="75" t="n"/>
      <c r="C106" s="97" t="n"/>
      <c r="D106" s="63" t="n"/>
      <c r="E106" s="64">
        <f>IFERROR(D106/C106,"")</f>
        <v/>
      </c>
      <c r="F106" s="98" t="n"/>
      <c r="G106" s="62">
        <f>IFERROR(C106*F106,"")</f>
        <v/>
      </c>
    </row>
    <row r="107" ht="15" customHeight="1" s="52">
      <c r="A107" s="56" t="n"/>
      <c r="B107" s="74" t="n"/>
      <c r="C107" s="99" t="n"/>
      <c r="D107" s="58" t="n"/>
      <c r="E107" s="59">
        <f>IFERROR(D107/C107,"")</f>
        <v/>
      </c>
      <c r="F107" s="100" t="n"/>
      <c r="G107" s="57">
        <f>IFERROR(C107*F107,"")</f>
        <v/>
      </c>
    </row>
    <row r="108" ht="15" customHeight="1" s="52">
      <c r="A108" s="61" t="n"/>
      <c r="B108" s="75" t="n"/>
      <c r="C108" s="97" t="n"/>
      <c r="D108" s="63" t="n"/>
      <c r="E108" s="64">
        <f>IFERROR(D108/C108,"")</f>
        <v/>
      </c>
      <c r="F108" s="98" t="n"/>
      <c r="G108" s="62">
        <f>IFERROR(C108*F108,"")</f>
        <v/>
      </c>
    </row>
    <row r="109" ht="15" customHeight="1" s="52">
      <c r="A109" s="56" t="n"/>
      <c r="B109" s="74" t="n"/>
      <c r="C109" s="99" t="n"/>
      <c r="D109" s="58" t="n"/>
      <c r="E109" s="59">
        <f>IFERROR(D109/C109,"")</f>
        <v/>
      </c>
      <c r="F109" s="100" t="n"/>
      <c r="G109" s="57">
        <f>IFERROR(C109*F109,"")</f>
        <v/>
      </c>
    </row>
    <row r="110" ht="15" customHeight="1" s="52">
      <c r="A110" s="61" t="n"/>
      <c r="B110" s="75" t="n"/>
      <c r="C110" s="97" t="n"/>
      <c r="D110" s="63" t="n"/>
      <c r="E110" s="64">
        <f>IFERROR(D110/C110,"")</f>
        <v/>
      </c>
      <c r="F110" s="98" t="n"/>
      <c r="G110" s="62">
        <f>IFERROR(C110*F110,"")</f>
        <v/>
      </c>
    </row>
    <row r="111" ht="15" customHeight="1" s="52">
      <c r="A111" s="56" t="n"/>
      <c r="B111" s="74" t="n"/>
      <c r="C111" s="99" t="n"/>
      <c r="D111" s="58" t="n"/>
      <c r="E111" s="59">
        <f>IFERROR(D111/C111,"")</f>
        <v/>
      </c>
      <c r="F111" s="100" t="n"/>
      <c r="G111" s="57">
        <f>IFERROR(C111*F111,"")</f>
        <v/>
      </c>
    </row>
    <row r="112" ht="15" customHeight="1" s="52">
      <c r="A112" s="61" t="n"/>
      <c r="B112" s="75" t="n"/>
      <c r="C112" s="97" t="n"/>
      <c r="D112" s="63" t="n"/>
      <c r="E112" s="64">
        <f>IFERROR(D112/C112,"")</f>
        <v/>
      </c>
      <c r="F112" s="98" t="n"/>
      <c r="G112" s="62">
        <f>IFERROR(C112*F112,"")</f>
        <v/>
      </c>
    </row>
    <row r="113" ht="15" customHeight="1" s="52">
      <c r="A113" s="56" t="n"/>
      <c r="B113" s="74" t="n"/>
      <c r="C113" s="99" t="n"/>
      <c r="D113" s="58" t="n"/>
      <c r="E113" s="59">
        <f>IFERROR(D113/C113,"")</f>
        <v/>
      </c>
      <c r="F113" s="100" t="n"/>
      <c r="G113" s="57">
        <f>IFERROR(C113*F113,"")</f>
        <v/>
      </c>
    </row>
    <row r="114" ht="15" customHeight="1" s="52">
      <c r="A114" s="61" t="n"/>
      <c r="B114" s="75" t="n"/>
      <c r="C114" s="97" t="n"/>
      <c r="D114" s="63" t="n"/>
      <c r="E114" s="64">
        <f>IFERROR(D114/C114,"")</f>
        <v/>
      </c>
      <c r="F114" s="98" t="n"/>
      <c r="G114" s="62">
        <f>IFERROR(C114*F114,"")</f>
        <v/>
      </c>
    </row>
    <row r="115" ht="15" customHeight="1" s="52">
      <c r="A115" s="56" t="n"/>
      <c r="B115" s="74" t="n"/>
      <c r="C115" s="99" t="n"/>
      <c r="D115" s="58" t="n"/>
      <c r="E115" s="59">
        <f>IFERROR(D115/C115,"")</f>
        <v/>
      </c>
      <c r="F115" s="100" t="n"/>
      <c r="G115" s="57">
        <f>IFERROR(C115*F115,"")</f>
        <v/>
      </c>
    </row>
    <row r="116" ht="15" customHeight="1" s="52">
      <c r="A116" s="61" t="n"/>
      <c r="B116" s="75" t="n"/>
      <c r="C116" s="97" t="n"/>
      <c r="D116" s="63" t="n"/>
      <c r="E116" s="64">
        <f>IFERROR(D116/C116,"")</f>
        <v/>
      </c>
      <c r="F116" s="98" t="n"/>
      <c r="G116" s="62">
        <f>IFERROR(C116*F116,"")</f>
        <v/>
      </c>
    </row>
    <row r="117" ht="15" customHeight="1" s="52">
      <c r="A117" s="56" t="n"/>
      <c r="B117" s="74" t="n"/>
      <c r="C117" s="99" t="n"/>
      <c r="D117" s="58" t="n"/>
      <c r="E117" s="59">
        <f>IFERROR(D117/C117,"")</f>
        <v/>
      </c>
      <c r="F117" s="100" t="n"/>
      <c r="G117" s="57">
        <f>IFERROR(C117*F117,"")</f>
        <v/>
      </c>
    </row>
    <row r="118" ht="15" customHeight="1" s="52">
      <c r="A118" s="61" t="n"/>
      <c r="B118" s="75" t="n"/>
      <c r="C118" s="97" t="n"/>
      <c r="D118" s="63" t="n"/>
      <c r="E118" s="64">
        <f>IFERROR(D118/C118,"")</f>
        <v/>
      </c>
      <c r="F118" s="98" t="n"/>
      <c r="G118" s="62">
        <f>IFERROR(C118*F118,"")</f>
        <v/>
      </c>
    </row>
    <row r="119" ht="15" customHeight="1" s="52">
      <c r="A119" s="56" t="n"/>
      <c r="B119" s="74" t="n"/>
      <c r="C119" s="99" t="n"/>
      <c r="D119" s="58" t="n"/>
      <c r="E119" s="59">
        <f>IFERROR(D119/C119,"")</f>
        <v/>
      </c>
      <c r="F119" s="100" t="n"/>
      <c r="G119" s="57">
        <f>IFERROR(C119*F119,"")</f>
        <v/>
      </c>
    </row>
    <row r="120" ht="15" customHeight="1" s="52">
      <c r="A120" s="61" t="n"/>
      <c r="B120" s="75" t="n"/>
      <c r="C120" s="97" t="n"/>
      <c r="D120" s="63" t="n"/>
      <c r="E120" s="64">
        <f>IFERROR(D120/C120,"")</f>
        <v/>
      </c>
      <c r="F120" s="98" t="n"/>
      <c r="G120" s="62">
        <f>IFERROR(C120*F120,"")</f>
        <v/>
      </c>
    </row>
    <row r="121" ht="15" customHeight="1" s="52">
      <c r="A121" s="56" t="n"/>
      <c r="B121" s="74" t="n"/>
      <c r="C121" s="99" t="n"/>
      <c r="D121" s="58" t="n"/>
      <c r="E121" s="59">
        <f>IFERROR(D121/C121,"")</f>
        <v/>
      </c>
      <c r="F121" s="100" t="n"/>
      <c r="G121" s="57">
        <f>IFERROR(C121*F121,"")</f>
        <v/>
      </c>
    </row>
    <row r="122" ht="15" customHeight="1" s="52">
      <c r="A122" s="61" t="n"/>
      <c r="B122" s="75" t="n"/>
      <c r="C122" s="97" t="n"/>
      <c r="D122" s="63" t="n"/>
      <c r="E122" s="64">
        <f>IFERROR(D122/C122,"")</f>
        <v/>
      </c>
      <c r="F122" s="98" t="n"/>
      <c r="G122" s="62">
        <f>IFERROR(C122*F122,"")</f>
        <v/>
      </c>
    </row>
    <row r="123" ht="15" customHeight="1" s="52">
      <c r="A123" s="56" t="n"/>
      <c r="B123" s="74" t="n"/>
      <c r="C123" s="99" t="n"/>
      <c r="D123" s="58" t="n"/>
      <c r="E123" s="59">
        <f>IFERROR(D123/C123,"")</f>
        <v/>
      </c>
      <c r="F123" s="100" t="n"/>
      <c r="G123" s="57">
        <f>IFERROR(C123*F123,"")</f>
        <v/>
      </c>
    </row>
    <row r="124" ht="15" customHeight="1" s="52">
      <c r="A124" s="61" t="n"/>
      <c r="B124" s="75" t="n"/>
      <c r="C124" s="97" t="n"/>
      <c r="D124" s="63" t="n"/>
      <c r="E124" s="64">
        <f>IFERROR(D124/C124,"")</f>
        <v/>
      </c>
      <c r="F124" s="98" t="n"/>
      <c r="G124" s="62">
        <f>IFERROR(C124*F124,"")</f>
        <v/>
      </c>
    </row>
    <row r="125" ht="15" customHeight="1" s="52">
      <c r="A125" s="56" t="n"/>
      <c r="B125" s="74" t="n"/>
      <c r="C125" s="99" t="n"/>
      <c r="D125" s="58" t="n"/>
      <c r="E125" s="59">
        <f>IFERROR(D125/C125,"")</f>
        <v/>
      </c>
      <c r="F125" s="100" t="n"/>
      <c r="G125" s="57">
        <f>IFERROR(C125*F125,"")</f>
        <v/>
      </c>
    </row>
    <row r="126" ht="15" customHeight="1" s="52">
      <c r="A126" s="61" t="n"/>
      <c r="B126" s="75" t="n"/>
      <c r="C126" s="97" t="n"/>
      <c r="D126" s="63" t="n"/>
      <c r="E126" s="64">
        <f>IFERROR(D126/C126,"")</f>
        <v/>
      </c>
      <c r="F126" s="98" t="n"/>
      <c r="G126" s="62">
        <f>IFERROR(C126*F126,"")</f>
        <v/>
      </c>
    </row>
    <row r="127" ht="15" customHeight="1" s="52">
      <c r="A127" s="56" t="n"/>
      <c r="B127" s="74" t="n"/>
      <c r="C127" s="99" t="n"/>
      <c r="D127" s="58" t="n"/>
      <c r="E127" s="59">
        <f>IFERROR(D127/C127,"")</f>
        <v/>
      </c>
      <c r="F127" s="100" t="n"/>
      <c r="G127" s="57">
        <f>IFERROR(C127*F127,"")</f>
        <v/>
      </c>
    </row>
    <row r="128" ht="15" customHeight="1" s="52">
      <c r="A128" s="61" t="n"/>
      <c r="B128" s="75" t="n"/>
      <c r="C128" s="97" t="n"/>
      <c r="D128" s="63" t="n"/>
      <c r="E128" s="64">
        <f>IFERROR(D128/C128,"")</f>
        <v/>
      </c>
      <c r="F128" s="98" t="n"/>
      <c r="G128" s="62">
        <f>IFERROR(C128*F128,"")</f>
        <v/>
      </c>
    </row>
    <row r="129" ht="15" customHeight="1" s="52">
      <c r="A129" s="56" t="n"/>
      <c r="B129" s="74" t="n"/>
      <c r="C129" s="99" t="n"/>
      <c r="D129" s="58" t="n"/>
      <c r="E129" s="59">
        <f>IFERROR(D129/C129,"")</f>
        <v/>
      </c>
      <c r="F129" s="100" t="n"/>
      <c r="G129" s="57">
        <f>IFERROR(C129*F129,"")</f>
        <v/>
      </c>
    </row>
    <row r="130" ht="15" customHeight="1" s="52">
      <c r="A130" s="61" t="n"/>
      <c r="B130" s="75" t="n"/>
      <c r="C130" s="97" t="n"/>
      <c r="D130" s="63" t="n"/>
      <c r="E130" s="64">
        <f>IFERROR(D130/C130,"")</f>
        <v/>
      </c>
      <c r="F130" s="98" t="n"/>
      <c r="G130" s="62">
        <f>IFERROR(C130*F130,"")</f>
        <v/>
      </c>
    </row>
    <row r="131" ht="15" customHeight="1" s="52">
      <c r="A131" s="56" t="n"/>
      <c r="B131" s="74" t="n"/>
      <c r="C131" s="99" t="n"/>
      <c r="D131" s="58" t="n"/>
      <c r="E131" s="59">
        <f>IFERROR(D131/C131,"")</f>
        <v/>
      </c>
      <c r="F131" s="100" t="n"/>
      <c r="G131" s="57">
        <f>IFERROR(C131*F131,"")</f>
        <v/>
      </c>
    </row>
    <row r="132" ht="15" customHeight="1" s="52">
      <c r="A132" s="61" t="n"/>
      <c r="B132" s="75" t="n"/>
      <c r="C132" s="97" t="n"/>
      <c r="D132" s="63" t="n"/>
      <c r="E132" s="64">
        <f>IFERROR(D132/C132,"")</f>
        <v/>
      </c>
      <c r="F132" s="98" t="n"/>
      <c r="G132" s="62">
        <f>IFERROR(C132*F132,"")</f>
        <v/>
      </c>
    </row>
    <row r="133" ht="15" customHeight="1" s="52">
      <c r="A133" s="56" t="n"/>
      <c r="B133" s="74" t="n"/>
      <c r="C133" s="99" t="n"/>
      <c r="D133" s="58" t="n"/>
      <c r="E133" s="59">
        <f>IFERROR(D133/C133,"")</f>
        <v/>
      </c>
      <c r="F133" s="100" t="n"/>
      <c r="G133" s="57">
        <f>IFERROR(C133*F133,"")</f>
        <v/>
      </c>
    </row>
    <row r="134" ht="15" customHeight="1" s="52">
      <c r="A134" s="61" t="n"/>
      <c r="B134" s="75" t="n"/>
      <c r="C134" s="97" t="n"/>
      <c r="D134" s="63" t="n"/>
      <c r="E134" s="64">
        <f>IFERROR(D134/C134,"")</f>
        <v/>
      </c>
      <c r="F134" s="98" t="n"/>
      <c r="G134" s="62">
        <f>IFERROR(C134*F134,"")</f>
        <v/>
      </c>
    </row>
    <row r="135" ht="15" customHeight="1" s="52">
      <c r="A135" s="56" t="n"/>
      <c r="B135" s="74" t="n"/>
      <c r="C135" s="99" t="n"/>
      <c r="D135" s="58" t="n"/>
      <c r="E135" s="59">
        <f>IFERROR(D135/C135,"")</f>
        <v/>
      </c>
      <c r="F135" s="100" t="n"/>
      <c r="G135" s="57">
        <f>IFERROR(C135*F135,"")</f>
        <v/>
      </c>
    </row>
    <row r="136" ht="15" customHeight="1" s="52">
      <c r="A136" s="61" t="n"/>
      <c r="B136" s="75" t="n"/>
      <c r="C136" s="97" t="n"/>
      <c r="D136" s="63" t="n"/>
      <c r="E136" s="64">
        <f>IFERROR(D136/C136,"")</f>
        <v/>
      </c>
      <c r="F136" s="98" t="n"/>
      <c r="G136" s="62">
        <f>IFERROR(C136*F136,"")</f>
        <v/>
      </c>
    </row>
    <row r="137" ht="15" customHeight="1" s="52">
      <c r="A137" s="56" t="n"/>
      <c r="B137" s="74" t="n"/>
      <c r="C137" s="99" t="n"/>
      <c r="D137" s="58" t="n"/>
      <c r="E137" s="59">
        <f>IFERROR(D137/C137,"")</f>
        <v/>
      </c>
      <c r="F137" s="100" t="n"/>
      <c r="G137" s="57">
        <f>IFERROR(C137*F137,"")</f>
        <v/>
      </c>
    </row>
    <row r="138" ht="15" customHeight="1" s="52">
      <c r="A138" s="61" t="n"/>
      <c r="B138" s="75" t="n"/>
      <c r="C138" s="97" t="n"/>
      <c r="D138" s="63" t="n"/>
      <c r="E138" s="64">
        <f>IFERROR(D138/C138,"")</f>
        <v/>
      </c>
      <c r="F138" s="98" t="n"/>
      <c r="G138" s="62">
        <f>IFERROR(C138*F138,"")</f>
        <v/>
      </c>
    </row>
    <row r="139" ht="15" customHeight="1" s="52">
      <c r="A139" s="56" t="n"/>
      <c r="B139" s="74" t="n"/>
      <c r="C139" s="99" t="n"/>
      <c r="D139" s="58" t="n"/>
      <c r="E139" s="59">
        <f>IFERROR(D139/C139,"")</f>
        <v/>
      </c>
      <c r="F139" s="100" t="n"/>
      <c r="G139" s="57">
        <f>IFERROR(C139*F139,"")</f>
        <v/>
      </c>
    </row>
    <row r="140" ht="15" customHeight="1" s="52">
      <c r="A140" s="61" t="n"/>
      <c r="B140" s="75" t="n"/>
      <c r="C140" s="97" t="n"/>
      <c r="D140" s="63" t="n"/>
      <c r="E140" s="64">
        <f>IFERROR(D140/C140,"")</f>
        <v/>
      </c>
      <c r="F140" s="98" t="n"/>
      <c r="G140" s="62">
        <f>IFERROR(C140*F140,"")</f>
        <v/>
      </c>
    </row>
    <row r="141" ht="15" customHeight="1" s="52">
      <c r="A141" s="56" t="n"/>
      <c r="B141" s="74" t="n"/>
      <c r="C141" s="99" t="n"/>
      <c r="D141" s="58" t="n"/>
      <c r="E141" s="59">
        <f>IFERROR(D141/C141,"")</f>
        <v/>
      </c>
      <c r="F141" s="100" t="n"/>
      <c r="G141" s="57">
        <f>IFERROR(C141*F141,"")</f>
        <v/>
      </c>
    </row>
    <row r="142" ht="15" customHeight="1" s="52">
      <c r="A142" s="61" t="n"/>
      <c r="B142" s="75" t="n"/>
      <c r="C142" s="97" t="n"/>
      <c r="D142" s="63" t="n"/>
      <c r="E142" s="64">
        <f>IFERROR(D142/C142,"")</f>
        <v/>
      </c>
      <c r="F142" s="98" t="n"/>
      <c r="G142" s="62">
        <f>IFERROR(C142*F142,"")</f>
        <v/>
      </c>
    </row>
    <row r="143" ht="15" customHeight="1" s="52">
      <c r="A143" s="56" t="n"/>
      <c r="B143" s="74" t="n"/>
      <c r="C143" s="99" t="n"/>
      <c r="D143" s="58" t="n"/>
      <c r="E143" s="59">
        <f>IFERROR(D143/C143,"")</f>
        <v/>
      </c>
      <c r="F143" s="100" t="n"/>
      <c r="G143" s="57">
        <f>IFERROR(C143*F143,"")</f>
        <v/>
      </c>
    </row>
    <row r="144" ht="15" customHeight="1" s="52">
      <c r="A144" s="61" t="n"/>
      <c r="B144" s="75" t="n"/>
      <c r="C144" s="97" t="n"/>
      <c r="D144" s="63" t="n"/>
      <c r="E144" s="64">
        <f>IFERROR(D144/C144,"")</f>
        <v/>
      </c>
      <c r="F144" s="98" t="n"/>
      <c r="G144" s="62">
        <f>IFERROR(C144*F144,"")</f>
        <v/>
      </c>
    </row>
    <row r="145" ht="15" customHeight="1" s="52">
      <c r="A145" s="56" t="n"/>
      <c r="B145" s="74" t="n"/>
      <c r="C145" s="99" t="n"/>
      <c r="D145" s="58" t="n"/>
      <c r="E145" s="59">
        <f>IFERROR(D145/C145,"")</f>
        <v/>
      </c>
      <c r="F145" s="100" t="n"/>
      <c r="G145" s="57">
        <f>IFERROR(C145*F145,"")</f>
        <v/>
      </c>
    </row>
    <row r="146" ht="15" customHeight="1" s="52">
      <c r="A146" s="61" t="n"/>
      <c r="B146" s="75" t="n"/>
      <c r="C146" s="97" t="n"/>
      <c r="D146" s="63" t="n"/>
      <c r="E146" s="64">
        <f>IFERROR(D146/C146,"")</f>
        <v/>
      </c>
      <c r="F146" s="98" t="n"/>
      <c r="G146" s="62">
        <f>IFERROR(C146*F146,"")</f>
        <v/>
      </c>
    </row>
    <row r="147" ht="15" customHeight="1" s="52">
      <c r="A147" s="56" t="n"/>
      <c r="B147" s="74" t="n"/>
      <c r="C147" s="99" t="n"/>
      <c r="D147" s="58" t="n"/>
      <c r="E147" s="59">
        <f>IFERROR(D147/C147,"")</f>
        <v/>
      </c>
      <c r="F147" s="100" t="n"/>
      <c r="G147" s="57">
        <f>IFERROR(C147*F147,"")</f>
        <v/>
      </c>
    </row>
    <row r="148" ht="15" customHeight="1" s="52">
      <c r="A148" s="61" t="n"/>
      <c r="B148" s="75" t="n"/>
      <c r="C148" s="97" t="n"/>
      <c r="D148" s="63" t="n"/>
      <c r="E148" s="64">
        <f>IFERROR(D148/C148,"")</f>
        <v/>
      </c>
      <c r="F148" s="98" t="n"/>
      <c r="G148" s="62">
        <f>IFERROR(C148*F148,"")</f>
        <v/>
      </c>
    </row>
    <row r="149" ht="15" customHeight="1" s="52">
      <c r="A149" s="56" t="n"/>
      <c r="B149" s="74" t="n"/>
      <c r="C149" s="99" t="n"/>
      <c r="D149" s="58" t="n"/>
      <c r="E149" s="59">
        <f>IFERROR(D149/C149,"")</f>
        <v/>
      </c>
      <c r="F149" s="100" t="n"/>
      <c r="G149" s="57">
        <f>IFERROR(C149*F149,"")</f>
        <v/>
      </c>
    </row>
    <row r="150" ht="15" customHeight="1" s="52">
      <c r="A150" s="61" t="n"/>
      <c r="B150" s="75" t="n"/>
      <c r="C150" s="97" t="n"/>
      <c r="D150" s="63" t="n"/>
      <c r="E150" s="64">
        <f>IFERROR(D150/C150,"")</f>
        <v/>
      </c>
      <c r="F150" s="98" t="n"/>
      <c r="G150" s="62">
        <f>IFERROR(C150*F150,"")</f>
        <v/>
      </c>
    </row>
    <row r="151" ht="15" customHeight="1" s="52">
      <c r="A151" s="56" t="n"/>
      <c r="B151" s="74" t="n"/>
      <c r="C151" s="99" t="n"/>
      <c r="D151" s="58" t="n"/>
      <c r="E151" s="59">
        <f>IFERROR(D151/C151,"")</f>
        <v/>
      </c>
      <c r="F151" s="100" t="n"/>
      <c r="G151" s="57">
        <f>IFERROR(C151*F151,"")</f>
        <v/>
      </c>
    </row>
    <row r="152" ht="15" customHeight="1" s="52">
      <c r="A152" s="61" t="n"/>
      <c r="B152" s="75" t="n"/>
      <c r="C152" s="97" t="n"/>
      <c r="D152" s="63" t="n"/>
      <c r="E152" s="64">
        <f>IFERROR(D152/C152,"")</f>
        <v/>
      </c>
      <c r="F152" s="98" t="n"/>
      <c r="G152" s="62">
        <f>IFERROR(C152*F152,"")</f>
        <v/>
      </c>
    </row>
    <row r="153" ht="15" customHeight="1" s="52">
      <c r="A153" s="56" t="n"/>
      <c r="B153" s="74" t="n"/>
      <c r="C153" s="99" t="n"/>
      <c r="D153" s="58" t="n"/>
      <c r="E153" s="59">
        <f>IFERROR(D153/C153,"")</f>
        <v/>
      </c>
      <c r="F153" s="100" t="n"/>
      <c r="G153" s="57">
        <f>IFERROR(C153*F153,"")</f>
        <v/>
      </c>
    </row>
    <row r="154" ht="15" customHeight="1" s="52">
      <c r="A154" s="61" t="n"/>
      <c r="B154" s="75" t="n"/>
      <c r="C154" s="97" t="n"/>
      <c r="D154" s="63" t="n"/>
      <c r="E154" s="64">
        <f>IFERROR(D154/C154,"")</f>
        <v/>
      </c>
      <c r="F154" s="98" t="n"/>
      <c r="G154" s="62">
        <f>IFERROR(C154*F154,"")</f>
        <v/>
      </c>
    </row>
    <row r="155" ht="15" customHeight="1" s="52">
      <c r="A155" s="56" t="n"/>
      <c r="B155" s="74" t="n"/>
      <c r="C155" s="99" t="n"/>
      <c r="D155" s="58" t="n"/>
      <c r="E155" s="59">
        <f>IFERROR(D155/C155,"")</f>
        <v/>
      </c>
      <c r="F155" s="100" t="n"/>
      <c r="G155" s="57">
        <f>IFERROR(C155*F155,"")</f>
        <v/>
      </c>
    </row>
    <row r="156" ht="15" customHeight="1" s="52">
      <c r="A156" s="61" t="n"/>
      <c r="B156" s="75" t="n"/>
      <c r="C156" s="97" t="n"/>
      <c r="D156" s="63" t="n"/>
      <c r="E156" s="64">
        <f>IFERROR(D156/C156,"")</f>
        <v/>
      </c>
      <c r="F156" s="98" t="n"/>
      <c r="G156" s="62">
        <f>IFERROR(C156*F156,"")</f>
        <v/>
      </c>
    </row>
    <row r="157" ht="15" customHeight="1" s="52">
      <c r="A157" s="56" t="n"/>
      <c r="B157" s="74" t="n"/>
      <c r="C157" s="99" t="n"/>
      <c r="D157" s="58" t="n"/>
      <c r="E157" s="59">
        <f>IFERROR(D157/C157,"")</f>
        <v/>
      </c>
      <c r="F157" s="100" t="n"/>
      <c r="G157" s="57">
        <f>IFERROR(C157*F157,"")</f>
        <v/>
      </c>
    </row>
    <row r="158" ht="15" customHeight="1" s="52">
      <c r="A158" s="61" t="n"/>
      <c r="B158" s="75" t="n"/>
      <c r="C158" s="97" t="n"/>
      <c r="D158" s="63" t="n"/>
      <c r="E158" s="64">
        <f>IFERROR(D158/C158,"")</f>
        <v/>
      </c>
      <c r="F158" s="98" t="n"/>
      <c r="G158" s="62">
        <f>IFERROR(C158*F158,"")</f>
        <v/>
      </c>
    </row>
    <row r="159" ht="15" customHeight="1" s="52">
      <c r="A159" s="56" t="n"/>
      <c r="B159" s="74" t="n"/>
      <c r="C159" s="99" t="n"/>
      <c r="D159" s="58" t="n"/>
      <c r="E159" s="59">
        <f>IFERROR(D159/C159,"")</f>
        <v/>
      </c>
      <c r="F159" s="100" t="n"/>
      <c r="G159" s="57">
        <f>IFERROR(C159*F159,"")</f>
        <v/>
      </c>
    </row>
    <row r="160" ht="15" customHeight="1" s="52">
      <c r="A160" s="61" t="n"/>
      <c r="B160" s="75" t="n"/>
      <c r="C160" s="97" t="n"/>
      <c r="D160" s="63" t="n"/>
      <c r="E160" s="64">
        <f>IFERROR(D160/C160,"")</f>
        <v/>
      </c>
      <c r="F160" s="98" t="n"/>
      <c r="G160" s="62">
        <f>IFERROR(C160*F160,"")</f>
        <v/>
      </c>
    </row>
    <row r="161" ht="15" customHeight="1" s="52">
      <c r="A161" s="56" t="n"/>
      <c r="B161" s="74" t="n"/>
      <c r="C161" s="99" t="n"/>
      <c r="D161" s="58" t="n"/>
      <c r="E161" s="59">
        <f>IFERROR(D161/C161,"")</f>
        <v/>
      </c>
      <c r="F161" s="100" t="n"/>
      <c r="G161" s="57">
        <f>IFERROR(C161*F161,"")</f>
        <v/>
      </c>
    </row>
    <row r="162" ht="15" customHeight="1" s="52">
      <c r="A162" s="61" t="n"/>
      <c r="B162" s="75" t="n"/>
      <c r="C162" s="97" t="n"/>
      <c r="D162" s="63" t="n"/>
      <c r="E162" s="64">
        <f>IFERROR(D162/C162,"")</f>
        <v/>
      </c>
      <c r="F162" s="98" t="n"/>
      <c r="G162" s="62">
        <f>IFERROR(C162*F162,"")</f>
        <v/>
      </c>
    </row>
    <row r="163" ht="15" customHeight="1" s="52">
      <c r="A163" s="56" t="n"/>
      <c r="B163" s="74" t="n"/>
      <c r="C163" s="99" t="n"/>
      <c r="D163" s="58" t="n"/>
      <c r="E163" s="59">
        <f>IFERROR(D163/C163,"")</f>
        <v/>
      </c>
      <c r="F163" s="100" t="n"/>
      <c r="G163" s="57">
        <f>IFERROR(C163*F163,"")</f>
        <v/>
      </c>
    </row>
    <row r="164" ht="15" customHeight="1" s="52">
      <c r="A164" s="61" t="n"/>
      <c r="B164" s="75" t="n"/>
      <c r="C164" s="97" t="n"/>
      <c r="D164" s="63" t="n"/>
      <c r="E164" s="64">
        <f>IFERROR(D164/C164,"")</f>
        <v/>
      </c>
      <c r="F164" s="98" t="n"/>
      <c r="G164" s="62">
        <f>IFERROR(C164*F164,"")</f>
        <v/>
      </c>
    </row>
    <row r="165" ht="15" customHeight="1" s="52">
      <c r="A165" s="56" t="n"/>
      <c r="B165" s="74" t="n"/>
      <c r="C165" s="99" t="n"/>
      <c r="D165" s="58" t="n"/>
      <c r="E165" s="59">
        <f>IFERROR(D165/C165,"")</f>
        <v/>
      </c>
      <c r="F165" s="100" t="n"/>
      <c r="G165" s="57">
        <f>IFERROR(C165*F165,"")</f>
        <v/>
      </c>
    </row>
    <row r="166" ht="15" customHeight="1" s="52">
      <c r="A166" s="61" t="n"/>
      <c r="B166" s="75" t="n"/>
      <c r="C166" s="97" t="n"/>
      <c r="D166" s="63" t="n"/>
      <c r="E166" s="64">
        <f>IFERROR(D166/C166,"")</f>
        <v/>
      </c>
      <c r="F166" s="98" t="n"/>
      <c r="G166" s="62">
        <f>IFERROR(C166*F166,"")</f>
        <v/>
      </c>
    </row>
    <row r="167" ht="15" customHeight="1" s="52">
      <c r="A167" s="56" t="n"/>
      <c r="B167" s="74" t="n"/>
      <c r="C167" s="99" t="n"/>
      <c r="D167" s="58" t="n"/>
      <c r="E167" s="59">
        <f>IFERROR(D167/C167,"")</f>
        <v/>
      </c>
      <c r="F167" s="100" t="n"/>
      <c r="G167" s="57">
        <f>IFERROR(C167*F167,"")</f>
        <v/>
      </c>
    </row>
    <row r="168" ht="15" customHeight="1" s="52">
      <c r="A168" s="61" t="n"/>
      <c r="B168" s="75" t="n"/>
      <c r="C168" s="97" t="n"/>
      <c r="D168" s="63" t="n"/>
      <c r="E168" s="64">
        <f>IFERROR(D168/C168,"")</f>
        <v/>
      </c>
      <c r="F168" s="98" t="n"/>
      <c r="G168" s="62">
        <f>IFERROR(C168*F168,"")</f>
        <v/>
      </c>
    </row>
    <row r="169" ht="15" customHeight="1" s="52">
      <c r="A169" s="56" t="n"/>
      <c r="B169" s="74" t="n"/>
      <c r="C169" s="99" t="n"/>
      <c r="D169" s="58" t="n"/>
      <c r="E169" s="59">
        <f>IFERROR(D169/C169,"")</f>
        <v/>
      </c>
      <c r="F169" s="100" t="n"/>
      <c r="G169" s="57">
        <f>IFERROR(C169*F169,"")</f>
        <v/>
      </c>
    </row>
    <row r="170" ht="15" customHeight="1" s="52">
      <c r="A170" s="61" t="n"/>
      <c r="B170" s="75" t="n"/>
      <c r="C170" s="97" t="n"/>
      <c r="D170" s="63" t="n"/>
      <c r="E170" s="64">
        <f>IFERROR(D170/C170,"")</f>
        <v/>
      </c>
      <c r="F170" s="98" t="n"/>
      <c r="G170" s="62">
        <f>IFERROR(C170*F170,"")</f>
        <v/>
      </c>
    </row>
    <row r="171" ht="15" customHeight="1" s="52">
      <c r="A171" s="56" t="n"/>
      <c r="B171" s="74" t="n"/>
      <c r="C171" s="99" t="n"/>
      <c r="D171" s="58" t="n"/>
      <c r="E171" s="59">
        <f>IFERROR(D171/C171,"")</f>
        <v/>
      </c>
      <c r="F171" s="100" t="n"/>
      <c r="G171" s="57">
        <f>IFERROR(C171*F171,"")</f>
        <v/>
      </c>
    </row>
    <row r="172" ht="15" customHeight="1" s="52">
      <c r="A172" s="61" t="n"/>
      <c r="B172" s="75" t="n"/>
      <c r="C172" s="97" t="n"/>
      <c r="D172" s="63" t="n"/>
      <c r="E172" s="64">
        <f>IFERROR(D172/C172,"")</f>
        <v/>
      </c>
      <c r="F172" s="98" t="n"/>
      <c r="G172" s="62">
        <f>IFERROR(C172*F172,"")</f>
        <v/>
      </c>
    </row>
    <row r="173" ht="15" customHeight="1" s="52">
      <c r="A173" s="56" t="n"/>
      <c r="B173" s="74" t="n"/>
      <c r="C173" s="99" t="n"/>
      <c r="D173" s="58" t="n"/>
      <c r="E173" s="59">
        <f>IFERROR(D173/C173,"")</f>
        <v/>
      </c>
      <c r="F173" s="100" t="n"/>
      <c r="G173" s="57">
        <f>IFERROR(C173*F173,"")</f>
        <v/>
      </c>
    </row>
    <row r="174" ht="15" customHeight="1" s="52">
      <c r="A174" s="61" t="n"/>
      <c r="B174" s="75" t="n"/>
      <c r="C174" s="97" t="n"/>
      <c r="D174" s="63" t="n"/>
      <c r="E174" s="64">
        <f>IFERROR(D174/C174,"")</f>
        <v/>
      </c>
      <c r="F174" s="98" t="n"/>
      <c r="G174" s="62">
        <f>IFERROR(C174*F174,"")</f>
        <v/>
      </c>
    </row>
    <row r="175" ht="15" customHeight="1" s="52">
      <c r="A175" s="56" t="n"/>
      <c r="B175" s="74" t="n"/>
      <c r="C175" s="99" t="n"/>
      <c r="D175" s="58" t="n"/>
      <c r="E175" s="59">
        <f>IFERROR(D175/C175,"")</f>
        <v/>
      </c>
      <c r="F175" s="100" t="n"/>
      <c r="G175" s="57">
        <f>IFERROR(C175*F175,"")</f>
        <v/>
      </c>
    </row>
    <row r="176" ht="15" customHeight="1" s="52">
      <c r="A176" s="61" t="n"/>
      <c r="B176" s="75" t="n"/>
      <c r="C176" s="97" t="n"/>
      <c r="D176" s="63" t="n"/>
      <c r="E176" s="64">
        <f>IFERROR(D176/C176,"")</f>
        <v/>
      </c>
      <c r="F176" s="98" t="n"/>
      <c r="G176" s="62">
        <f>IFERROR(C176*F176,"")</f>
        <v/>
      </c>
    </row>
    <row r="177" ht="15" customHeight="1" s="52">
      <c r="A177" s="56" t="n"/>
      <c r="B177" s="74" t="n"/>
      <c r="C177" s="99" t="n"/>
      <c r="D177" s="58" t="n"/>
      <c r="E177" s="59">
        <f>IFERROR(D177/C177,"")</f>
        <v/>
      </c>
      <c r="F177" s="100" t="n"/>
      <c r="G177" s="57">
        <f>IFERROR(C177*F177,"")</f>
        <v/>
      </c>
    </row>
    <row r="178" ht="15" customHeight="1" s="52">
      <c r="A178" s="61" t="n"/>
      <c r="B178" s="75" t="n"/>
      <c r="C178" s="97" t="n"/>
      <c r="D178" s="63" t="n"/>
      <c r="E178" s="64">
        <f>IFERROR(D178/C178,"")</f>
        <v/>
      </c>
      <c r="F178" s="98" t="n"/>
      <c r="G178" s="62">
        <f>IFERROR(C178*F178,"")</f>
        <v/>
      </c>
    </row>
    <row r="179" ht="15" customHeight="1" s="52">
      <c r="A179" s="56" t="n"/>
      <c r="B179" s="74" t="n"/>
      <c r="C179" s="99" t="n"/>
      <c r="D179" s="58" t="n"/>
      <c r="E179" s="59">
        <f>IFERROR(D179/C179,"")</f>
        <v/>
      </c>
      <c r="F179" s="100" t="n"/>
      <c r="G179" s="57">
        <f>IFERROR(C179*F179,"")</f>
        <v/>
      </c>
    </row>
    <row r="180" ht="15" customHeight="1" s="52">
      <c r="A180" s="61" t="n"/>
      <c r="B180" s="75" t="n"/>
      <c r="C180" s="97" t="n"/>
      <c r="D180" s="63" t="n"/>
      <c r="E180" s="64">
        <f>IFERROR(D180/C180,"")</f>
        <v/>
      </c>
      <c r="F180" s="98" t="n"/>
      <c r="G180" s="62">
        <f>IFERROR(C180*F180,"")</f>
        <v/>
      </c>
    </row>
    <row r="181" ht="15" customHeight="1" s="52">
      <c r="A181" s="56" t="n"/>
      <c r="B181" s="74" t="n"/>
      <c r="C181" s="99" t="n"/>
      <c r="D181" s="58" t="n"/>
      <c r="E181" s="59">
        <f>IFERROR(D181/C181,"")</f>
        <v/>
      </c>
      <c r="F181" s="100" t="n"/>
      <c r="G181" s="57">
        <f>IFERROR(C181*F181,"")</f>
        <v/>
      </c>
    </row>
    <row r="182" ht="15" customHeight="1" s="52">
      <c r="A182" s="61" t="n"/>
      <c r="B182" s="75" t="n"/>
      <c r="C182" s="97" t="n"/>
      <c r="D182" s="63" t="n"/>
      <c r="E182" s="64">
        <f>IFERROR(D182/C182,"")</f>
        <v/>
      </c>
      <c r="F182" s="98" t="n"/>
      <c r="G182" s="62">
        <f>IFERROR(C182*F182,"")</f>
        <v/>
      </c>
    </row>
    <row r="183" ht="15" customHeight="1" s="52">
      <c r="A183" s="56" t="n"/>
      <c r="B183" s="74" t="n"/>
      <c r="C183" s="99" t="n"/>
      <c r="D183" s="58" t="n"/>
      <c r="E183" s="59">
        <f>IFERROR(D183/C183,"")</f>
        <v/>
      </c>
      <c r="F183" s="100" t="n"/>
      <c r="G183" s="57">
        <f>IFERROR(C183*F183,"")</f>
        <v/>
      </c>
    </row>
    <row r="184" ht="15" customHeight="1" s="52">
      <c r="A184" s="61" t="n"/>
      <c r="B184" s="75" t="n"/>
      <c r="C184" s="97" t="n"/>
      <c r="D184" s="63" t="n"/>
      <c r="E184" s="64">
        <f>IFERROR(D184/C184,"")</f>
        <v/>
      </c>
      <c r="F184" s="98" t="n"/>
      <c r="G184" s="62">
        <f>IFERROR(C184*F184,"")</f>
        <v/>
      </c>
    </row>
    <row r="185" ht="15" customHeight="1" s="52">
      <c r="A185" s="56" t="n"/>
      <c r="B185" s="74" t="n"/>
      <c r="C185" s="99" t="n"/>
      <c r="D185" s="58" t="n"/>
      <c r="E185" s="59">
        <f>IFERROR(D185/C185,"")</f>
        <v/>
      </c>
      <c r="F185" s="100" t="n"/>
      <c r="G185" s="57">
        <f>IFERROR(C185*F185,"")</f>
        <v/>
      </c>
    </row>
    <row r="186" ht="15" customHeight="1" s="52">
      <c r="A186" s="61" t="n"/>
      <c r="B186" s="75" t="n"/>
      <c r="C186" s="97" t="n"/>
      <c r="D186" s="63" t="n"/>
      <c r="E186" s="64">
        <f>IFERROR(D186/C186,"")</f>
        <v/>
      </c>
      <c r="F186" s="98" t="n"/>
      <c r="G186" s="62">
        <f>IFERROR(C186*F186,"")</f>
        <v/>
      </c>
    </row>
    <row r="187" ht="15" customHeight="1" s="52">
      <c r="A187" s="56" t="n"/>
      <c r="B187" s="74" t="n"/>
      <c r="C187" s="99" t="n"/>
      <c r="D187" s="58" t="n"/>
      <c r="E187" s="59">
        <f>IFERROR(D187/C187,"")</f>
        <v/>
      </c>
      <c r="F187" s="100" t="n"/>
      <c r="G187" s="57">
        <f>IFERROR(C187*F187,"")</f>
        <v/>
      </c>
    </row>
    <row r="188" ht="15" customHeight="1" s="52">
      <c r="A188" s="61" t="n"/>
      <c r="B188" s="75" t="n"/>
      <c r="C188" s="97" t="n"/>
      <c r="D188" s="63" t="n"/>
      <c r="E188" s="64">
        <f>IFERROR(D188/C188,"")</f>
        <v/>
      </c>
      <c r="F188" s="98" t="n"/>
      <c r="G188" s="62">
        <f>IFERROR(C188*F188,"")</f>
        <v/>
      </c>
    </row>
    <row r="189" ht="15" customHeight="1" s="52">
      <c r="A189" s="56" t="n"/>
      <c r="B189" s="74" t="n"/>
      <c r="C189" s="99" t="n"/>
      <c r="D189" s="58" t="n"/>
      <c r="E189" s="59">
        <f>IFERROR(D189/C189,"")</f>
        <v/>
      </c>
      <c r="F189" s="100" t="n"/>
      <c r="G189" s="57">
        <f>IFERROR(C189*F189,"")</f>
        <v/>
      </c>
    </row>
    <row r="190" ht="15" customHeight="1" s="52">
      <c r="A190" s="61" t="n"/>
      <c r="B190" s="75" t="n"/>
      <c r="C190" s="97" t="n"/>
      <c r="D190" s="63" t="n"/>
      <c r="E190" s="64">
        <f>IFERROR(D190/C190,"")</f>
        <v/>
      </c>
      <c r="F190" s="98" t="n"/>
      <c r="G190" s="62">
        <f>IFERROR(C190*F190,"")</f>
        <v/>
      </c>
    </row>
    <row r="191" ht="15" customHeight="1" s="52">
      <c r="A191" s="56" t="n"/>
      <c r="B191" s="74" t="n"/>
      <c r="C191" s="99" t="n"/>
      <c r="D191" s="58" t="n"/>
      <c r="E191" s="59">
        <f>IFERROR(D191/C191,"")</f>
        <v/>
      </c>
      <c r="F191" s="100" t="n"/>
      <c r="G191" s="57">
        <f>IFERROR(C191*F191,"")</f>
        <v/>
      </c>
    </row>
    <row r="192" ht="15" customHeight="1" s="52">
      <c r="A192" s="61" t="n"/>
      <c r="B192" s="75" t="n"/>
      <c r="C192" s="97" t="n"/>
      <c r="D192" s="63" t="n"/>
      <c r="E192" s="64">
        <f>IFERROR(D192/C192,"")</f>
        <v/>
      </c>
      <c r="F192" s="98" t="n"/>
      <c r="G192" s="62">
        <f>IFERROR(C192*F192,"")</f>
        <v/>
      </c>
    </row>
    <row r="193" ht="15" customHeight="1" s="52">
      <c r="A193" s="56" t="n"/>
      <c r="B193" s="74" t="n"/>
      <c r="C193" s="99" t="n"/>
      <c r="D193" s="58" t="n"/>
      <c r="E193" s="59">
        <f>IFERROR(D193/C193,"")</f>
        <v/>
      </c>
      <c r="F193" s="100" t="n"/>
      <c r="G193" s="57">
        <f>IFERROR(C193*F193,"")</f>
        <v/>
      </c>
    </row>
    <row r="194" ht="15" customHeight="1" s="52">
      <c r="A194" s="61" t="n"/>
      <c r="B194" s="75" t="n"/>
      <c r="C194" s="97" t="n"/>
      <c r="D194" s="63" t="n"/>
      <c r="E194" s="64">
        <f>IFERROR(D194/C194,"")</f>
        <v/>
      </c>
      <c r="F194" s="98" t="n"/>
      <c r="G194" s="62">
        <f>IFERROR(C194*F194,"")</f>
        <v/>
      </c>
    </row>
    <row r="195" ht="15" customHeight="1" s="52">
      <c r="A195" s="56" t="n"/>
      <c r="B195" s="74" t="n"/>
      <c r="C195" s="99" t="n"/>
      <c r="D195" s="58" t="n"/>
      <c r="E195" s="59">
        <f>IFERROR(D195/C195,"")</f>
        <v/>
      </c>
      <c r="F195" s="100" t="n"/>
      <c r="G195" s="57">
        <f>IFERROR(C195*F195,"")</f>
        <v/>
      </c>
    </row>
    <row r="196" ht="15" customHeight="1" s="52">
      <c r="A196" s="61" t="n"/>
      <c r="B196" s="75" t="n"/>
      <c r="C196" s="97" t="n"/>
      <c r="D196" s="63" t="n"/>
      <c r="E196" s="64">
        <f>IFERROR(D196/C196,"")</f>
        <v/>
      </c>
      <c r="F196" s="98" t="n"/>
      <c r="G196" s="62">
        <f>IFERROR(C196*F196,"")</f>
        <v/>
      </c>
    </row>
    <row r="197" ht="15" customHeight="1" s="52">
      <c r="A197" s="56" t="n"/>
      <c r="B197" s="74" t="n"/>
      <c r="C197" s="99" t="n"/>
      <c r="D197" s="58" t="n"/>
      <c r="E197" s="59">
        <f>IFERROR(D197/C197,"")</f>
        <v/>
      </c>
      <c r="F197" s="100" t="n"/>
      <c r="G197" s="57">
        <f>IFERROR(C197*F197,"")</f>
        <v/>
      </c>
    </row>
    <row r="198" ht="15" customHeight="1" s="52">
      <c r="A198" s="61" t="n"/>
      <c r="B198" s="75" t="n"/>
      <c r="C198" s="97" t="n"/>
      <c r="D198" s="63" t="n"/>
      <c r="E198" s="64">
        <f>IFERROR(D198/C198,"")</f>
        <v/>
      </c>
      <c r="F198" s="98" t="n"/>
      <c r="G198" s="62">
        <f>IFERROR(C198*F198,"")</f>
        <v/>
      </c>
    </row>
    <row r="199" ht="15" customHeight="1" s="52">
      <c r="A199" s="56" t="n"/>
      <c r="B199" s="74" t="n"/>
      <c r="C199" s="99" t="n"/>
      <c r="D199" s="58" t="n"/>
      <c r="E199" s="59">
        <f>IFERROR(D199/C199,"")</f>
        <v/>
      </c>
      <c r="F199" s="100" t="n"/>
      <c r="G199" s="57">
        <f>IFERROR(C199*F199,"")</f>
        <v/>
      </c>
    </row>
    <row r="200" ht="15" customHeight="1" s="52">
      <c r="A200" s="61" t="n"/>
      <c r="B200" s="75" t="n"/>
      <c r="C200" s="97" t="n"/>
      <c r="D200" s="63" t="n"/>
      <c r="E200" s="64">
        <f>IFERROR(D200/C200,"")</f>
        <v/>
      </c>
      <c r="F200" s="98" t="n"/>
      <c r="G200" s="62">
        <f>IFERROR(C200*F200,"")</f>
        <v/>
      </c>
    </row>
    <row r="201" ht="15" customHeight="1" s="52">
      <c r="A201" s="56" t="n"/>
      <c r="B201" s="74" t="n"/>
      <c r="C201" s="99" t="n"/>
      <c r="D201" s="58" t="n"/>
      <c r="E201" s="59">
        <f>IFERROR(D201/C201,"")</f>
        <v/>
      </c>
      <c r="F201" s="100" t="n"/>
      <c r="G201" s="57">
        <f>IFERROR(C201*F201,"")</f>
        <v/>
      </c>
    </row>
    <row r="202" ht="15" customHeight="1" s="52">
      <c r="A202" s="61" t="n"/>
      <c r="B202" s="75" t="n"/>
      <c r="C202" s="97" t="n"/>
      <c r="D202" s="63" t="n"/>
      <c r="E202" s="64">
        <f>IFERROR(D202/C202,"")</f>
        <v/>
      </c>
      <c r="F202" s="98" t="n"/>
      <c r="G202" s="62">
        <f>IFERROR(C202*F202,"")</f>
        <v/>
      </c>
    </row>
    <row r="203" ht="15" customHeight="1" s="52">
      <c r="A203" s="56" t="n"/>
      <c r="B203" s="74" t="n"/>
      <c r="C203" s="99" t="n"/>
      <c r="D203" s="58" t="n"/>
      <c r="E203" s="59">
        <f>IFERROR(D203/C203,"")</f>
        <v/>
      </c>
      <c r="F203" s="100" t="n"/>
      <c r="G203" s="57">
        <f>IFERROR(C203*F203,"")</f>
        <v/>
      </c>
    </row>
    <row r="204" ht="15" customHeight="1" s="52">
      <c r="A204" s="61" t="n"/>
      <c r="B204" s="75" t="n"/>
      <c r="C204" s="97" t="n"/>
      <c r="D204" s="63" t="n"/>
      <c r="E204" s="64">
        <f>IFERROR(D204/C204,"")</f>
        <v/>
      </c>
      <c r="F204" s="98" t="n"/>
      <c r="G204" s="62">
        <f>IFERROR(C204*F204,"")</f>
        <v/>
      </c>
    </row>
    <row r="205" ht="15" customHeight="1" s="52">
      <c r="A205" s="56" t="n"/>
      <c r="B205" s="74" t="n"/>
      <c r="C205" s="99" t="n"/>
      <c r="D205" s="58" t="n"/>
      <c r="E205" s="59">
        <f>IFERROR(D205/C205,"")</f>
        <v/>
      </c>
      <c r="F205" s="100" t="n"/>
      <c r="G205" s="57">
        <f>IFERROR(C205*F205,"")</f>
        <v/>
      </c>
    </row>
    <row r="206" ht="15" customHeight="1" s="52">
      <c r="A206" s="61" t="n"/>
      <c r="B206" s="75" t="n"/>
      <c r="C206" s="97" t="n"/>
      <c r="D206" s="63" t="n"/>
      <c r="E206" s="64">
        <f>IFERROR(D206/C206,"")</f>
        <v/>
      </c>
      <c r="F206" s="98" t="n"/>
      <c r="G206" s="62">
        <f>IFERROR(C206*F206,"")</f>
        <v/>
      </c>
    </row>
    <row r="207" ht="15" customHeight="1" s="52">
      <c r="A207" s="56" t="n"/>
      <c r="B207" s="74" t="n"/>
      <c r="C207" s="99" t="n"/>
      <c r="D207" s="58" t="n"/>
      <c r="E207" s="59">
        <f>IFERROR(D207/C207,"")</f>
        <v/>
      </c>
      <c r="F207" s="100" t="n"/>
      <c r="G207" s="57">
        <f>IFERROR(C207*F207,"")</f>
        <v/>
      </c>
    </row>
    <row r="208" ht="15" customHeight="1" s="52">
      <c r="A208" s="61" t="n"/>
      <c r="B208" s="75" t="n"/>
      <c r="C208" s="97" t="n"/>
      <c r="D208" s="63" t="n"/>
      <c r="E208" s="64">
        <f>IFERROR(D208/C208,"")</f>
        <v/>
      </c>
      <c r="F208" s="98" t="n"/>
      <c r="G208" s="62">
        <f>IFERROR(C208*F208,"")</f>
        <v/>
      </c>
    </row>
    <row r="209" ht="15" customHeight="1" s="52">
      <c r="A209" s="56" t="n"/>
      <c r="B209" s="74" t="n"/>
      <c r="C209" s="99" t="n"/>
      <c r="D209" s="58" t="n"/>
      <c r="E209" s="59">
        <f>IFERROR(D209/C209,"")</f>
        <v/>
      </c>
      <c r="F209" s="100" t="n"/>
      <c r="G209" s="57">
        <f>IFERROR(C209*F209,"")</f>
        <v/>
      </c>
    </row>
    <row r="210" ht="15" customHeight="1" s="52">
      <c r="A210" s="61" t="n"/>
      <c r="B210" s="75" t="n"/>
      <c r="C210" s="97" t="n"/>
      <c r="D210" s="63" t="n"/>
      <c r="E210" s="64">
        <f>IFERROR(D210/C210,"")</f>
        <v/>
      </c>
      <c r="F210" s="98" t="n"/>
      <c r="G210" s="62">
        <f>IFERROR(C210*F210,"")</f>
        <v/>
      </c>
    </row>
    <row r="211" ht="15" customHeight="1" s="52">
      <c r="A211" s="56" t="n"/>
      <c r="B211" s="74" t="n"/>
      <c r="C211" s="99" t="n"/>
      <c r="D211" s="58" t="n"/>
      <c r="E211" s="59">
        <f>IFERROR(D211/C211,"")</f>
        <v/>
      </c>
      <c r="F211" s="100" t="n"/>
      <c r="G211" s="57">
        <f>IFERROR(C211*F211,"")</f>
        <v/>
      </c>
    </row>
    <row r="212" ht="15" customHeight="1" s="52">
      <c r="A212" s="61" t="n"/>
      <c r="B212" s="75" t="n"/>
      <c r="C212" s="97" t="n"/>
      <c r="D212" s="63" t="n"/>
      <c r="E212" s="64">
        <f>IFERROR(D212/C212,"")</f>
        <v/>
      </c>
      <c r="F212" s="98" t="n"/>
      <c r="G212" s="62">
        <f>IFERROR(C212*F212,"")</f>
        <v/>
      </c>
    </row>
    <row r="213" ht="15" customHeight="1" s="52">
      <c r="A213" s="56" t="n"/>
      <c r="B213" s="74" t="n"/>
      <c r="C213" s="99" t="n"/>
      <c r="D213" s="58" t="n"/>
      <c r="E213" s="59">
        <f>IFERROR(D213/C213,"")</f>
        <v/>
      </c>
      <c r="F213" s="100" t="n"/>
      <c r="G213" s="57">
        <f>IFERROR(C213*F213,"")</f>
        <v/>
      </c>
    </row>
    <row r="214" ht="15" customHeight="1" s="52">
      <c r="A214" s="61" t="n"/>
      <c r="B214" s="75" t="n"/>
      <c r="C214" s="97" t="n"/>
      <c r="D214" s="63" t="n"/>
      <c r="E214" s="64">
        <f>IFERROR(D214/C214,"")</f>
        <v/>
      </c>
      <c r="F214" s="98" t="n"/>
      <c r="G214" s="62">
        <f>IFERROR(C214*F214,"")</f>
        <v/>
      </c>
    </row>
    <row r="215" ht="15" customHeight="1" s="52">
      <c r="A215" s="56" t="n"/>
      <c r="B215" s="74" t="n"/>
      <c r="C215" s="99" t="n"/>
      <c r="D215" s="58" t="n"/>
      <c r="E215" s="59">
        <f>IFERROR(D215/C215,"")</f>
        <v/>
      </c>
      <c r="F215" s="100" t="n"/>
      <c r="G215" s="57">
        <f>IFERROR(C215*F215,"")</f>
        <v/>
      </c>
    </row>
    <row r="216" ht="15" customHeight="1" s="52">
      <c r="A216" s="61" t="n"/>
      <c r="B216" s="75" t="n"/>
      <c r="C216" s="97" t="n"/>
      <c r="D216" s="63" t="n"/>
      <c r="E216" s="64">
        <f>IFERROR(D216/C216,"")</f>
        <v/>
      </c>
      <c r="F216" s="98" t="n"/>
      <c r="G216" s="62">
        <f>IFERROR(C216*F216,"")</f>
        <v/>
      </c>
    </row>
    <row r="217" ht="15" customHeight="1" s="52">
      <c r="A217" s="56" t="n"/>
      <c r="B217" s="74" t="n"/>
      <c r="C217" s="99" t="n"/>
      <c r="D217" s="58" t="n"/>
      <c r="E217" s="59">
        <f>IFERROR(D217/C217,"")</f>
        <v/>
      </c>
      <c r="F217" s="100" t="n"/>
      <c r="G217" s="57">
        <f>IFERROR(C217*F217,"")</f>
        <v/>
      </c>
    </row>
    <row r="218" ht="15" customHeight="1" s="52">
      <c r="A218" s="61" t="n"/>
      <c r="B218" s="75" t="n"/>
      <c r="C218" s="97" t="n"/>
      <c r="D218" s="63" t="n"/>
      <c r="E218" s="64">
        <f>IFERROR(D218/C218,"")</f>
        <v/>
      </c>
      <c r="F218" s="98" t="n"/>
      <c r="G218" s="62">
        <f>IFERROR(C218*F218,"")</f>
        <v/>
      </c>
    </row>
    <row r="219" ht="15" customHeight="1" s="52">
      <c r="A219" s="56" t="n"/>
      <c r="B219" s="74" t="n"/>
      <c r="C219" s="99" t="n"/>
      <c r="D219" s="58" t="n"/>
      <c r="E219" s="59">
        <f>IFERROR(D219/C219,"")</f>
        <v/>
      </c>
      <c r="F219" s="100" t="n"/>
      <c r="G219" s="57">
        <f>IFERROR(C219*F219,"")</f>
        <v/>
      </c>
    </row>
    <row r="220" ht="15" customHeight="1" s="52">
      <c r="A220" s="61" t="n"/>
      <c r="B220" s="75" t="n"/>
      <c r="C220" s="97" t="n"/>
      <c r="D220" s="63" t="n"/>
      <c r="E220" s="64">
        <f>IFERROR(D220/C220,"")</f>
        <v/>
      </c>
      <c r="F220" s="98" t="n"/>
      <c r="G220" s="62">
        <f>IFERROR(C220*F220,"")</f>
        <v/>
      </c>
    </row>
    <row r="221" ht="15" customHeight="1" s="52">
      <c r="A221" s="56" t="n"/>
      <c r="B221" s="74" t="n"/>
      <c r="C221" s="99" t="n"/>
      <c r="D221" s="58" t="n"/>
      <c r="E221" s="59">
        <f>IFERROR(D221/C221,"")</f>
        <v/>
      </c>
      <c r="F221" s="100" t="n"/>
      <c r="G221" s="57">
        <f>IFERROR(C221*F221,"")</f>
        <v/>
      </c>
    </row>
    <row r="222" ht="15" customHeight="1" s="52">
      <c r="A222" s="61" t="n"/>
      <c r="B222" s="75" t="n"/>
      <c r="C222" s="97" t="n"/>
      <c r="D222" s="63" t="n"/>
      <c r="E222" s="64">
        <f>IFERROR(D222/C222,"")</f>
        <v/>
      </c>
      <c r="F222" s="98" t="n"/>
      <c r="G222" s="62">
        <f>IFERROR(C222*F222,"")</f>
        <v/>
      </c>
    </row>
    <row r="223" ht="15" customHeight="1" s="52">
      <c r="A223" s="56" t="n"/>
      <c r="B223" s="74" t="n"/>
      <c r="C223" s="99" t="n"/>
      <c r="D223" s="58" t="n"/>
      <c r="E223" s="59">
        <f>IFERROR(D223/C223,"")</f>
        <v/>
      </c>
      <c r="F223" s="100" t="n"/>
      <c r="G223" s="57">
        <f>IFERROR(C223*F223,"")</f>
        <v/>
      </c>
    </row>
    <row r="224" ht="15" customHeight="1" s="52">
      <c r="A224" s="61" t="n"/>
      <c r="B224" s="75" t="n"/>
      <c r="C224" s="97" t="n"/>
      <c r="D224" s="63" t="n"/>
      <c r="E224" s="64">
        <f>IFERROR(D224/C224,"")</f>
        <v/>
      </c>
      <c r="F224" s="98" t="n"/>
      <c r="G224" s="62">
        <f>IFERROR(C224*F224,"")</f>
        <v/>
      </c>
    </row>
    <row r="225" ht="15" customHeight="1" s="52">
      <c r="A225" s="56" t="n"/>
      <c r="B225" s="74" t="n"/>
      <c r="C225" s="99" t="n"/>
      <c r="D225" s="58" t="n"/>
      <c r="E225" s="59">
        <f>IFERROR(D225/C225,"")</f>
        <v/>
      </c>
      <c r="F225" s="100" t="n"/>
      <c r="G225" s="57">
        <f>IFERROR(C225*F225,"")</f>
        <v/>
      </c>
    </row>
    <row r="226" ht="15" customHeight="1" s="52">
      <c r="A226" s="61" t="n"/>
      <c r="B226" s="75" t="n"/>
      <c r="C226" s="97" t="n"/>
      <c r="D226" s="63" t="n"/>
      <c r="E226" s="64">
        <f>IFERROR(D226/C226,"")</f>
        <v/>
      </c>
      <c r="F226" s="98" t="n"/>
      <c r="G226" s="62">
        <f>IFERROR(C226*F226,"")</f>
        <v/>
      </c>
    </row>
    <row r="227" ht="15" customHeight="1" s="52">
      <c r="A227" s="56" t="n"/>
      <c r="B227" s="74" t="n"/>
      <c r="C227" s="99" t="n"/>
      <c r="D227" s="58" t="n"/>
      <c r="E227" s="59">
        <f>IFERROR(D227/C227,"")</f>
        <v/>
      </c>
      <c r="F227" s="100" t="n"/>
      <c r="G227" s="57">
        <f>IFERROR(C227*F227,"")</f>
        <v/>
      </c>
    </row>
    <row r="228" ht="15" customHeight="1" s="52">
      <c r="A228" s="61" t="n"/>
      <c r="B228" s="75" t="n"/>
      <c r="C228" s="97" t="n"/>
      <c r="D228" s="63" t="n"/>
      <c r="E228" s="64">
        <f>IFERROR(D228/C228,"")</f>
        <v/>
      </c>
      <c r="F228" s="98" t="n"/>
      <c r="G228" s="62">
        <f>IFERROR(C228*F228,"")</f>
        <v/>
      </c>
    </row>
    <row r="229" ht="15" customHeight="1" s="52">
      <c r="A229" s="56" t="n"/>
      <c r="B229" s="74" t="n"/>
      <c r="C229" s="99" t="n"/>
      <c r="D229" s="58" t="n"/>
      <c r="E229" s="59">
        <f>IFERROR(D229/C229,"")</f>
        <v/>
      </c>
      <c r="F229" s="100" t="n"/>
      <c r="G229" s="57">
        <f>IFERROR(C229*F229,"")</f>
        <v/>
      </c>
    </row>
    <row r="230" ht="15" customHeight="1" s="52">
      <c r="A230" s="61" t="n"/>
      <c r="B230" s="75" t="n"/>
      <c r="C230" s="97" t="n"/>
      <c r="D230" s="63" t="n"/>
      <c r="E230" s="64">
        <f>IFERROR(D230/C230,"")</f>
        <v/>
      </c>
      <c r="F230" s="98" t="n"/>
      <c r="G230" s="62">
        <f>IFERROR(C230*F230,"")</f>
        <v/>
      </c>
    </row>
    <row r="231" ht="15" customHeight="1" s="52">
      <c r="A231" s="56" t="n"/>
      <c r="B231" s="74" t="n"/>
      <c r="C231" s="99" t="n"/>
      <c r="D231" s="58" t="n"/>
      <c r="E231" s="59">
        <f>IFERROR(D231/C231,"")</f>
        <v/>
      </c>
      <c r="F231" s="100" t="n"/>
      <c r="G231" s="57">
        <f>IFERROR(C231*F231,"")</f>
        <v/>
      </c>
    </row>
    <row r="232" ht="15" customHeight="1" s="52">
      <c r="A232" s="61" t="n"/>
      <c r="B232" s="75" t="n"/>
      <c r="C232" s="97" t="n"/>
      <c r="D232" s="63" t="n"/>
      <c r="E232" s="64">
        <f>IFERROR(D232/C232,"")</f>
        <v/>
      </c>
      <c r="F232" s="98" t="n"/>
      <c r="G232" s="62">
        <f>IFERROR(C232*F232,"")</f>
        <v/>
      </c>
    </row>
    <row r="233" ht="15" customHeight="1" s="52">
      <c r="A233" s="56" t="n"/>
      <c r="B233" s="74" t="n"/>
      <c r="C233" s="99" t="n"/>
      <c r="D233" s="58" t="n"/>
      <c r="E233" s="59">
        <f>IFERROR(D233/C233,"")</f>
        <v/>
      </c>
      <c r="F233" s="100" t="n"/>
      <c r="G233" s="57">
        <f>IFERROR(C233*F233,"")</f>
        <v/>
      </c>
    </row>
    <row r="234" ht="15" customHeight="1" s="52">
      <c r="A234" s="61" t="n"/>
      <c r="B234" s="75" t="n"/>
      <c r="C234" s="97" t="n"/>
      <c r="D234" s="63" t="n"/>
      <c r="E234" s="64">
        <f>IFERROR(D234/C234,"")</f>
        <v/>
      </c>
      <c r="F234" s="98" t="n"/>
      <c r="G234" s="62">
        <f>IFERROR(C234*F234,"")</f>
        <v/>
      </c>
    </row>
    <row r="235" ht="15" customHeight="1" s="52">
      <c r="A235" s="56" t="n"/>
      <c r="B235" s="74" t="n"/>
      <c r="C235" s="99" t="n"/>
      <c r="D235" s="58" t="n"/>
      <c r="E235" s="59">
        <f>IFERROR(D235/C235,"")</f>
        <v/>
      </c>
      <c r="F235" s="100" t="n"/>
      <c r="G235" s="57">
        <f>IFERROR(C235*F235,"")</f>
        <v/>
      </c>
    </row>
    <row r="236" ht="15" customHeight="1" s="52">
      <c r="A236" s="61" t="n"/>
      <c r="B236" s="75" t="n"/>
      <c r="C236" s="97" t="n"/>
      <c r="D236" s="63" t="n"/>
      <c r="E236" s="64">
        <f>IFERROR(D236/C236,"")</f>
        <v/>
      </c>
      <c r="F236" s="98" t="n"/>
      <c r="G236" s="62">
        <f>IFERROR(C236*F236,"")</f>
        <v/>
      </c>
    </row>
    <row r="237" ht="15" customHeight="1" s="52">
      <c r="A237" s="56" t="n"/>
      <c r="B237" s="74" t="n"/>
      <c r="C237" s="99" t="n"/>
      <c r="D237" s="58" t="n"/>
      <c r="E237" s="59">
        <f>IFERROR(D237/C237,"")</f>
        <v/>
      </c>
      <c r="F237" s="100" t="n"/>
      <c r="G237" s="57">
        <f>IFERROR(C237*F237,"")</f>
        <v/>
      </c>
    </row>
    <row r="238" ht="15" customHeight="1" s="52">
      <c r="A238" s="61" t="n"/>
      <c r="B238" s="75" t="n"/>
      <c r="C238" s="97" t="n"/>
      <c r="D238" s="63" t="n"/>
      <c r="E238" s="64">
        <f>IFERROR(D238/C238,"")</f>
        <v/>
      </c>
      <c r="F238" s="98" t="n"/>
      <c r="G238" s="62">
        <f>IFERROR(C238*F238,"")</f>
        <v/>
      </c>
    </row>
    <row r="239" ht="15" customHeight="1" s="52">
      <c r="A239" s="56" t="n"/>
      <c r="B239" s="74" t="n"/>
      <c r="C239" s="99" t="n"/>
      <c r="D239" s="58" t="n"/>
      <c r="E239" s="59">
        <f>IFERROR(D239/C239,"")</f>
        <v/>
      </c>
      <c r="F239" s="100" t="n"/>
      <c r="G239" s="57">
        <f>IFERROR(C239*F239,"")</f>
        <v/>
      </c>
    </row>
    <row r="240" ht="15" customHeight="1" s="52">
      <c r="A240" s="61" t="n"/>
      <c r="B240" s="75" t="n"/>
      <c r="C240" s="97" t="n"/>
      <c r="D240" s="63" t="n"/>
      <c r="E240" s="64">
        <f>IFERROR(D240/C240,"")</f>
        <v/>
      </c>
      <c r="F240" s="98" t="n"/>
      <c r="G240" s="62">
        <f>IFERROR(C240*F240,"")</f>
        <v/>
      </c>
    </row>
    <row r="241" ht="15" customHeight="1" s="52">
      <c r="A241" s="56" t="n"/>
      <c r="B241" s="74" t="n"/>
      <c r="C241" s="99" t="n"/>
      <c r="D241" s="58" t="n"/>
      <c r="E241" s="59">
        <f>IFERROR(D241/C241,"")</f>
        <v/>
      </c>
      <c r="F241" s="100" t="n"/>
      <c r="G241" s="57">
        <f>IFERROR(C241*F241,"")</f>
        <v/>
      </c>
    </row>
    <row r="242" ht="15" customHeight="1" s="52">
      <c r="A242" s="61" t="n"/>
      <c r="B242" s="75" t="n"/>
      <c r="C242" s="97" t="n"/>
      <c r="D242" s="63" t="n"/>
      <c r="E242" s="64">
        <f>IFERROR(D242/C242,"")</f>
        <v/>
      </c>
      <c r="F242" s="98" t="n"/>
      <c r="G242" s="62">
        <f>IFERROR(C242*F242,"")</f>
        <v/>
      </c>
    </row>
    <row r="243" ht="15" customHeight="1" s="52">
      <c r="A243" s="56" t="n"/>
      <c r="B243" s="74" t="n"/>
      <c r="C243" s="99" t="n"/>
      <c r="D243" s="58" t="n"/>
      <c r="E243" s="59">
        <f>IFERROR(D243/C243,"")</f>
        <v/>
      </c>
      <c r="F243" s="100" t="n"/>
      <c r="G243" s="57">
        <f>IFERROR(C243*F243,"")</f>
        <v/>
      </c>
    </row>
    <row r="244" ht="15" customHeight="1" s="52">
      <c r="A244" s="61" t="n"/>
      <c r="B244" s="75" t="n"/>
      <c r="C244" s="97" t="n"/>
      <c r="D244" s="63" t="n"/>
      <c r="E244" s="64">
        <f>IFERROR(D244/C244,"")</f>
        <v/>
      </c>
      <c r="F244" s="98" t="n"/>
      <c r="G244" s="62">
        <f>IFERROR(C244*F244,"")</f>
        <v/>
      </c>
    </row>
    <row r="245" ht="15" customHeight="1" s="52">
      <c r="A245" s="56" t="n"/>
      <c r="B245" s="74" t="n"/>
      <c r="C245" s="99" t="n"/>
      <c r="D245" s="58" t="n"/>
      <c r="E245" s="59">
        <f>IFERROR(D245/C245,"")</f>
        <v/>
      </c>
      <c r="F245" s="100" t="n"/>
      <c r="G245" s="57">
        <f>IFERROR(C245*F245,"")</f>
        <v/>
      </c>
    </row>
    <row r="246" ht="15" customHeight="1" s="52">
      <c r="A246" s="61" t="n"/>
      <c r="B246" s="75" t="n"/>
      <c r="C246" s="97" t="n"/>
      <c r="D246" s="63" t="n"/>
      <c r="E246" s="64">
        <f>IFERROR(D246/C246,"")</f>
        <v/>
      </c>
      <c r="F246" s="98" t="n"/>
      <c r="G246" s="62">
        <f>IFERROR(C246*F246,"")</f>
        <v/>
      </c>
    </row>
    <row r="247" ht="15" customHeight="1" s="52">
      <c r="A247" s="56" t="n"/>
      <c r="B247" s="74" t="n"/>
      <c r="C247" s="99" t="n"/>
      <c r="D247" s="58" t="n"/>
      <c r="E247" s="59">
        <f>IFERROR(D247/C247,"")</f>
        <v/>
      </c>
      <c r="F247" s="100" t="n"/>
      <c r="G247" s="57">
        <f>IFERROR(C247*F247,"")</f>
        <v/>
      </c>
    </row>
    <row r="248" ht="15" customHeight="1" s="52">
      <c r="A248" s="61" t="n"/>
      <c r="B248" s="75" t="n"/>
      <c r="C248" s="97" t="n"/>
      <c r="D248" s="63" t="n"/>
      <c r="E248" s="64">
        <f>IFERROR(D248/C248,"")</f>
        <v/>
      </c>
      <c r="F248" s="98" t="n"/>
      <c r="G248" s="62">
        <f>IFERROR(C248*F248,"")</f>
        <v/>
      </c>
    </row>
    <row r="249" ht="15" customHeight="1" s="52">
      <c r="A249" s="56" t="n"/>
      <c r="B249" s="74" t="n"/>
      <c r="C249" s="99" t="n"/>
      <c r="D249" s="58" t="n"/>
      <c r="E249" s="59">
        <f>IFERROR(D249/C249,"")</f>
        <v/>
      </c>
      <c r="F249" s="100" t="n"/>
      <c r="G249" s="57">
        <f>IFERROR(C249*F249,"")</f>
        <v/>
      </c>
    </row>
    <row r="250" ht="15" customHeight="1" s="52">
      <c r="A250" s="61" t="n"/>
      <c r="B250" s="75" t="n"/>
      <c r="C250" s="97" t="n"/>
      <c r="D250" s="63" t="n"/>
      <c r="E250" s="64">
        <f>IFERROR(D250/C250,"")</f>
        <v/>
      </c>
      <c r="F250" s="98" t="n"/>
      <c r="G250" s="62">
        <f>IFERROR(C250*F250,"")</f>
        <v/>
      </c>
    </row>
    <row r="251" ht="15" customHeight="1" s="52">
      <c r="A251" s="56" t="n"/>
      <c r="B251" s="74" t="n"/>
      <c r="C251" s="99" t="n"/>
      <c r="D251" s="58" t="n"/>
      <c r="E251" s="59">
        <f>IFERROR(D251/C251,"")</f>
        <v/>
      </c>
      <c r="F251" s="100" t="n"/>
      <c r="G251" s="57">
        <f>IFERROR(C251*F251,"")</f>
        <v/>
      </c>
    </row>
    <row r="252" ht="15" customHeight="1" s="52">
      <c r="A252" s="61" t="n"/>
      <c r="B252" s="75" t="n"/>
      <c r="C252" s="97" t="n"/>
      <c r="D252" s="63" t="n"/>
      <c r="E252" s="64">
        <f>IFERROR(D252/C252,"")</f>
        <v/>
      </c>
      <c r="F252" s="98" t="n"/>
      <c r="G252" s="62">
        <f>IFERROR(C252*F252,"")</f>
        <v/>
      </c>
    </row>
    <row r="253" ht="15" customHeight="1" s="52">
      <c r="A253" s="56" t="n"/>
      <c r="B253" s="74" t="n"/>
      <c r="C253" s="99" t="n"/>
      <c r="D253" s="58" t="n"/>
      <c r="E253" s="59">
        <f>IFERROR(D253/C253,"")</f>
        <v/>
      </c>
      <c r="F253" s="100" t="n"/>
      <c r="G253" s="57">
        <f>IFERROR(C253*F253,"")</f>
        <v/>
      </c>
    </row>
    <row r="254" ht="15" customHeight="1" s="52">
      <c r="A254" s="61" t="n"/>
      <c r="B254" s="75" t="n"/>
      <c r="C254" s="97" t="n"/>
      <c r="D254" s="63" t="n"/>
      <c r="E254" s="64">
        <f>IFERROR(D254/C254,"")</f>
        <v/>
      </c>
      <c r="F254" s="98" t="n"/>
      <c r="G254" s="62">
        <f>IFERROR(C254*F254,"")</f>
        <v/>
      </c>
    </row>
    <row r="255" ht="15" customHeight="1" s="52">
      <c r="A255" s="56" t="n"/>
      <c r="B255" s="74" t="n"/>
      <c r="C255" s="99" t="n"/>
      <c r="D255" s="58" t="n"/>
      <c r="E255" s="59">
        <f>IFERROR(D255/C255,"")</f>
        <v/>
      </c>
      <c r="F255" s="100" t="n"/>
      <c r="G255" s="57">
        <f>IFERROR(C255*F255,"")</f>
        <v/>
      </c>
    </row>
    <row r="256" ht="15" customHeight="1" s="52">
      <c r="A256" s="61" t="n"/>
      <c r="B256" s="75" t="n"/>
      <c r="C256" s="97" t="n"/>
      <c r="D256" s="63" t="n"/>
      <c r="E256" s="64">
        <f>IFERROR(D256/C256,"")</f>
        <v/>
      </c>
      <c r="F256" s="98" t="n"/>
      <c r="G256" s="62">
        <f>IFERROR(C256*F256,"")</f>
        <v/>
      </c>
    </row>
    <row r="257" ht="15" customHeight="1" s="52">
      <c r="A257" s="56" t="n"/>
      <c r="B257" s="74" t="n"/>
      <c r="C257" s="99" t="n"/>
      <c r="D257" s="58" t="n"/>
      <c r="E257" s="59">
        <f>IFERROR(D257/C257,"")</f>
        <v/>
      </c>
      <c r="F257" s="100" t="n"/>
      <c r="G257" s="57">
        <f>IFERROR(C257*F257,"")</f>
        <v/>
      </c>
    </row>
    <row r="258" ht="15" customHeight="1" s="52">
      <c r="A258" s="61" t="n"/>
      <c r="B258" s="75" t="n"/>
      <c r="C258" s="97" t="n"/>
      <c r="D258" s="63" t="n"/>
      <c r="E258" s="64">
        <f>IFERROR(D258/C258,"")</f>
        <v/>
      </c>
      <c r="F258" s="98" t="n"/>
      <c r="G258" s="62">
        <f>IFERROR(C258*F258,"")</f>
        <v/>
      </c>
    </row>
    <row r="259" ht="15" customHeight="1" s="52">
      <c r="A259" s="56" t="n"/>
      <c r="B259" s="74" t="n"/>
      <c r="C259" s="99" t="n"/>
      <c r="D259" s="58" t="n"/>
      <c r="E259" s="59">
        <f>IFERROR(D259/C259,"")</f>
        <v/>
      </c>
      <c r="F259" s="100" t="n"/>
      <c r="G259" s="57">
        <f>IFERROR(C259*F259,"")</f>
        <v/>
      </c>
    </row>
    <row r="260" ht="15" customHeight="1" s="52">
      <c r="A260" s="61" t="n"/>
      <c r="B260" s="75" t="n"/>
      <c r="C260" s="97" t="n"/>
      <c r="D260" s="63" t="n"/>
      <c r="E260" s="64">
        <f>IFERROR(D260/C260,"")</f>
        <v/>
      </c>
      <c r="F260" s="98" t="n"/>
      <c r="G260" s="62">
        <f>IFERROR(C260*F260,"")</f>
        <v/>
      </c>
    </row>
    <row r="261" ht="15" customHeight="1" s="52">
      <c r="A261" s="56" t="n"/>
      <c r="B261" s="74" t="n"/>
      <c r="C261" s="99" t="n"/>
      <c r="D261" s="58" t="n"/>
      <c r="E261" s="59">
        <f>IFERROR(D261/C261,"")</f>
        <v/>
      </c>
      <c r="F261" s="100" t="n"/>
      <c r="G261" s="57">
        <f>IFERROR(C261*F261,"")</f>
        <v/>
      </c>
    </row>
    <row r="262" ht="15" customHeight="1" s="52">
      <c r="A262" s="61" t="n"/>
      <c r="B262" s="75" t="n"/>
      <c r="C262" s="97" t="n"/>
      <c r="D262" s="63" t="n"/>
      <c r="E262" s="64">
        <f>IFERROR(D262/C262,"")</f>
        <v/>
      </c>
      <c r="F262" s="98" t="n"/>
      <c r="G262" s="62">
        <f>IFERROR(C262*F262,"")</f>
        <v/>
      </c>
    </row>
    <row r="263" ht="15" customHeight="1" s="52">
      <c r="A263" s="56" t="n"/>
      <c r="B263" s="74" t="n"/>
      <c r="C263" s="99" t="n"/>
      <c r="D263" s="58" t="n"/>
      <c r="E263" s="59">
        <f>IFERROR(D263/C263,"")</f>
        <v/>
      </c>
      <c r="F263" s="100" t="n"/>
      <c r="G263" s="57">
        <f>IFERROR(C263*F263,"")</f>
        <v/>
      </c>
    </row>
    <row r="264" ht="15" customHeight="1" s="52">
      <c r="A264" s="61" t="n"/>
      <c r="B264" s="75" t="n"/>
      <c r="C264" s="97" t="n"/>
      <c r="D264" s="63" t="n"/>
      <c r="E264" s="64">
        <f>IFERROR(D264/C264,"")</f>
        <v/>
      </c>
      <c r="F264" s="98" t="n"/>
      <c r="G264" s="62">
        <f>IFERROR(C264*F264,"")</f>
        <v/>
      </c>
    </row>
    <row r="265" ht="15" customHeight="1" s="52">
      <c r="A265" s="56" t="n"/>
      <c r="B265" s="74" t="n"/>
      <c r="C265" s="99" t="n"/>
      <c r="D265" s="58" t="n"/>
      <c r="E265" s="59">
        <f>IFERROR(D265/C265,"")</f>
        <v/>
      </c>
      <c r="F265" s="100" t="n"/>
      <c r="G265" s="57">
        <f>IFERROR(C265*F265,"")</f>
        <v/>
      </c>
    </row>
    <row r="266" ht="15" customHeight="1" s="52">
      <c r="A266" s="61" t="n"/>
      <c r="B266" s="75" t="n"/>
      <c r="C266" s="97" t="n"/>
      <c r="D266" s="63" t="n"/>
      <c r="E266" s="64">
        <f>IFERROR(D266/C266,"")</f>
        <v/>
      </c>
      <c r="F266" s="98" t="n"/>
      <c r="G266" s="62">
        <f>IFERROR(C266*F266,"")</f>
        <v/>
      </c>
    </row>
    <row r="267" ht="15" customHeight="1" s="52">
      <c r="A267" s="56" t="n"/>
      <c r="B267" s="74" t="n"/>
      <c r="C267" s="99" t="n"/>
      <c r="D267" s="58" t="n"/>
      <c r="E267" s="59">
        <f>IFERROR(D267/C267,"")</f>
        <v/>
      </c>
      <c r="F267" s="100" t="n"/>
      <c r="G267" s="57">
        <f>IFERROR(C267*F267,"")</f>
        <v/>
      </c>
    </row>
    <row r="268" ht="15" customHeight="1" s="52">
      <c r="A268" s="61" t="n"/>
      <c r="B268" s="75" t="n"/>
      <c r="C268" s="97" t="n"/>
      <c r="D268" s="63" t="n"/>
      <c r="E268" s="64">
        <f>IFERROR(D268/C268,"")</f>
        <v/>
      </c>
      <c r="F268" s="98" t="n"/>
      <c r="G268" s="62">
        <f>IFERROR(C268*F268,"")</f>
        <v/>
      </c>
    </row>
    <row r="269" ht="15" customHeight="1" s="52">
      <c r="A269" s="56" t="n"/>
      <c r="B269" s="74" t="n"/>
      <c r="C269" s="99" t="n"/>
      <c r="D269" s="58" t="n"/>
      <c r="E269" s="59">
        <f>IFERROR(D269/C269,"")</f>
        <v/>
      </c>
      <c r="F269" s="100" t="n"/>
      <c r="G269" s="57">
        <f>IFERROR(C269*F269,"")</f>
        <v/>
      </c>
    </row>
    <row r="270" ht="15" customHeight="1" s="52">
      <c r="A270" s="61" t="n"/>
      <c r="B270" s="75" t="n"/>
      <c r="C270" s="97" t="n"/>
      <c r="D270" s="63" t="n"/>
      <c r="E270" s="64">
        <f>IFERROR(D270/C270,"")</f>
        <v/>
      </c>
      <c r="F270" s="98" t="n"/>
      <c r="G270" s="62">
        <f>IFERROR(C270*F270,"")</f>
        <v/>
      </c>
    </row>
    <row r="271" ht="15" customHeight="1" s="52">
      <c r="A271" s="56" t="n"/>
      <c r="B271" s="74" t="n"/>
      <c r="C271" s="99" t="n"/>
      <c r="D271" s="58" t="n"/>
      <c r="E271" s="59">
        <f>IFERROR(D271/C271,"")</f>
        <v/>
      </c>
      <c r="F271" s="100" t="n"/>
      <c r="G271" s="57">
        <f>IFERROR(C271*F271,"")</f>
        <v/>
      </c>
    </row>
    <row r="272" ht="15" customHeight="1" s="52">
      <c r="A272" s="61" t="n"/>
      <c r="B272" s="75" t="n"/>
      <c r="C272" s="97" t="n"/>
      <c r="D272" s="63" t="n"/>
      <c r="E272" s="64">
        <f>IFERROR(D272/C272,"")</f>
        <v/>
      </c>
      <c r="F272" s="98" t="n"/>
      <c r="G272" s="62">
        <f>IFERROR(C272*F272,"")</f>
        <v/>
      </c>
    </row>
    <row r="273" ht="15" customHeight="1" s="52">
      <c r="A273" s="56" t="n"/>
      <c r="B273" s="74" t="n"/>
      <c r="C273" s="99" t="n"/>
      <c r="D273" s="58" t="n"/>
      <c r="E273" s="59">
        <f>IFERROR(D273/C273,"")</f>
        <v/>
      </c>
      <c r="F273" s="100" t="n"/>
      <c r="G273" s="57">
        <f>IFERROR(C273*F273,"")</f>
        <v/>
      </c>
    </row>
    <row r="274" ht="15" customHeight="1" s="52">
      <c r="A274" s="61" t="n"/>
      <c r="B274" s="75" t="n"/>
      <c r="C274" s="97" t="n"/>
      <c r="D274" s="63" t="n"/>
      <c r="E274" s="64">
        <f>IFERROR(D274/C274,"")</f>
        <v/>
      </c>
      <c r="F274" s="98" t="n"/>
      <c r="G274" s="62">
        <f>IFERROR(C274*F274,"")</f>
        <v/>
      </c>
    </row>
    <row r="275" ht="15" customHeight="1" s="52">
      <c r="A275" s="56" t="n"/>
      <c r="B275" s="74" t="n"/>
      <c r="C275" s="99" t="n"/>
      <c r="D275" s="58" t="n"/>
      <c r="E275" s="59">
        <f>IFERROR(D275/C275,"")</f>
        <v/>
      </c>
      <c r="F275" s="100" t="n"/>
      <c r="G275" s="57">
        <f>IFERROR(C275*F275,"")</f>
        <v/>
      </c>
    </row>
    <row r="276" ht="15" customHeight="1" s="52">
      <c r="A276" s="61" t="n"/>
      <c r="B276" s="75" t="n"/>
      <c r="C276" s="97" t="n"/>
      <c r="D276" s="63" t="n"/>
      <c r="E276" s="64">
        <f>IFERROR(D276/C276,"")</f>
        <v/>
      </c>
      <c r="F276" s="98" t="n"/>
      <c r="G276" s="62">
        <f>IFERROR(C276*F276,"")</f>
        <v/>
      </c>
    </row>
    <row r="277" ht="15" customHeight="1" s="52">
      <c r="A277" s="56" t="n"/>
      <c r="B277" s="74" t="n"/>
      <c r="C277" s="99" t="n"/>
      <c r="D277" s="58" t="n"/>
      <c r="E277" s="59">
        <f>IFERROR(D277/C277,"")</f>
        <v/>
      </c>
      <c r="F277" s="100" t="n"/>
      <c r="G277" s="57">
        <f>IFERROR(C277*F277,"")</f>
        <v/>
      </c>
    </row>
    <row r="278" ht="15" customHeight="1" s="52">
      <c r="A278" s="61" t="n"/>
      <c r="B278" s="75" t="n"/>
      <c r="C278" s="97" t="n"/>
      <c r="D278" s="63" t="n"/>
      <c r="E278" s="64">
        <f>IFERROR(D278/C278,"")</f>
        <v/>
      </c>
      <c r="F278" s="98" t="n"/>
      <c r="G278" s="62">
        <f>IFERROR(C278*F278,"")</f>
        <v/>
      </c>
    </row>
    <row r="279" ht="15" customHeight="1" s="52">
      <c r="A279" s="56" t="n"/>
      <c r="B279" s="74" t="n"/>
      <c r="C279" s="99" t="n"/>
      <c r="D279" s="58" t="n"/>
      <c r="E279" s="59">
        <f>IFERROR(D279/C279,"")</f>
        <v/>
      </c>
      <c r="F279" s="100" t="n"/>
      <c r="G279" s="57">
        <f>IFERROR(C279*F279,"")</f>
        <v/>
      </c>
    </row>
    <row r="280" ht="15" customHeight="1" s="52">
      <c r="A280" s="61" t="n"/>
      <c r="B280" s="75" t="n"/>
      <c r="C280" s="97" t="n"/>
      <c r="D280" s="63" t="n"/>
      <c r="E280" s="64">
        <f>IFERROR(D280/C280,"")</f>
        <v/>
      </c>
      <c r="F280" s="98" t="n"/>
      <c r="G280" s="62">
        <f>IFERROR(C280*F280,"")</f>
        <v/>
      </c>
    </row>
    <row r="281" ht="15" customHeight="1" s="52">
      <c r="A281" s="56" t="n"/>
      <c r="B281" s="74" t="n"/>
      <c r="C281" s="99" t="n"/>
      <c r="D281" s="58" t="n"/>
      <c r="E281" s="59">
        <f>IFERROR(D281/C281,"")</f>
        <v/>
      </c>
      <c r="F281" s="100" t="n"/>
      <c r="G281" s="57">
        <f>IFERROR(C281*F281,"")</f>
        <v/>
      </c>
    </row>
    <row r="282" ht="15" customHeight="1" s="52">
      <c r="A282" s="61" t="n"/>
      <c r="B282" s="75" t="n"/>
      <c r="C282" s="97" t="n"/>
      <c r="D282" s="63" t="n"/>
      <c r="E282" s="64">
        <f>IFERROR(D282/C282,"")</f>
        <v/>
      </c>
      <c r="F282" s="98" t="n"/>
      <c r="G282" s="62">
        <f>IFERROR(C282*F282,"")</f>
        <v/>
      </c>
    </row>
    <row r="283" ht="15" customHeight="1" s="52">
      <c r="A283" s="56" t="n"/>
      <c r="B283" s="74" t="n"/>
      <c r="C283" s="99" t="n"/>
      <c r="D283" s="58" t="n"/>
      <c r="E283" s="59">
        <f>IFERROR(D283/C283,"")</f>
        <v/>
      </c>
      <c r="F283" s="100" t="n"/>
      <c r="G283" s="57">
        <f>IFERROR(C283*F283,"")</f>
        <v/>
      </c>
    </row>
    <row r="284" ht="15" customHeight="1" s="52">
      <c r="A284" s="61" t="n"/>
      <c r="B284" s="75" t="n"/>
      <c r="C284" s="97" t="n"/>
      <c r="D284" s="63" t="n"/>
      <c r="E284" s="64">
        <f>IFERROR(D284/C284,"")</f>
        <v/>
      </c>
      <c r="F284" s="98" t="n"/>
      <c r="G284" s="62">
        <f>IFERROR(C284*F284,"")</f>
        <v/>
      </c>
    </row>
    <row r="285" ht="15" customHeight="1" s="52">
      <c r="A285" s="56" t="n"/>
      <c r="B285" s="74" t="n"/>
      <c r="C285" s="99" t="n"/>
      <c r="D285" s="58" t="n"/>
      <c r="E285" s="59">
        <f>IFERROR(D285/C285,"")</f>
        <v/>
      </c>
      <c r="F285" s="100" t="n"/>
      <c r="G285" s="57">
        <f>IFERROR(C285*F285,"")</f>
        <v/>
      </c>
    </row>
    <row r="286" ht="15" customHeight="1" s="52">
      <c r="A286" s="61" t="n"/>
      <c r="B286" s="75" t="n"/>
      <c r="C286" s="97" t="n"/>
      <c r="D286" s="63" t="n"/>
      <c r="E286" s="64">
        <f>IFERROR(D286/C286,"")</f>
        <v/>
      </c>
      <c r="F286" s="98" t="n"/>
      <c r="G286" s="62">
        <f>IFERROR(C286*F286,"")</f>
        <v/>
      </c>
    </row>
    <row r="287" ht="15" customHeight="1" s="52">
      <c r="A287" s="56" t="n"/>
      <c r="B287" s="74" t="n"/>
      <c r="C287" s="99" t="n"/>
      <c r="D287" s="58" t="n"/>
      <c r="E287" s="59">
        <f>IFERROR(D287/C287,"")</f>
        <v/>
      </c>
      <c r="F287" s="100" t="n"/>
      <c r="G287" s="57">
        <f>IFERROR(C287*F287,"")</f>
        <v/>
      </c>
    </row>
    <row r="288" ht="15" customHeight="1" s="52">
      <c r="A288" s="61" t="n"/>
      <c r="B288" s="75" t="n"/>
      <c r="C288" s="97" t="n"/>
      <c r="D288" s="63" t="n"/>
      <c r="E288" s="64">
        <f>IFERROR(D288/C288,"")</f>
        <v/>
      </c>
      <c r="F288" s="98" t="n"/>
      <c r="G288" s="62">
        <f>IFERROR(C288*F288,"")</f>
        <v/>
      </c>
    </row>
    <row r="289" ht="15" customHeight="1" s="52">
      <c r="A289" s="56" t="n"/>
      <c r="B289" s="74" t="n"/>
      <c r="C289" s="99" t="n"/>
      <c r="D289" s="58" t="n"/>
      <c r="E289" s="59">
        <f>IFERROR(D289/C289,"")</f>
        <v/>
      </c>
      <c r="F289" s="100" t="n"/>
      <c r="G289" s="57">
        <f>IFERROR(C289*F289,"")</f>
        <v/>
      </c>
    </row>
    <row r="290" ht="15" customHeight="1" s="52">
      <c r="A290" s="61" t="n"/>
      <c r="B290" s="75" t="n"/>
      <c r="C290" s="97" t="n"/>
      <c r="D290" s="63" t="n"/>
      <c r="E290" s="64">
        <f>IFERROR(D290/C290,"")</f>
        <v/>
      </c>
      <c r="F290" s="98" t="n"/>
      <c r="G290" s="62">
        <f>IFERROR(C290*F290,"")</f>
        <v/>
      </c>
    </row>
    <row r="291" ht="15" customHeight="1" s="52">
      <c r="A291" s="56" t="n"/>
      <c r="B291" s="74" t="n"/>
      <c r="C291" s="99" t="n"/>
      <c r="D291" s="58" t="n"/>
      <c r="E291" s="59">
        <f>IFERROR(D291/C291,"")</f>
        <v/>
      </c>
      <c r="F291" s="100" t="n"/>
      <c r="G291" s="57">
        <f>IFERROR(C291*F291,"")</f>
        <v/>
      </c>
    </row>
    <row r="292" ht="15" customHeight="1" s="52">
      <c r="A292" s="61" t="n"/>
      <c r="B292" s="75" t="n"/>
      <c r="C292" s="97" t="n"/>
      <c r="D292" s="63" t="n"/>
      <c r="E292" s="64">
        <f>IFERROR(D292/C292,"")</f>
        <v/>
      </c>
      <c r="F292" s="98" t="n"/>
      <c r="G292" s="62">
        <f>IFERROR(C292*F292,"")</f>
        <v/>
      </c>
    </row>
    <row r="293" ht="15" customHeight="1" s="52">
      <c r="A293" s="56" t="n"/>
      <c r="B293" s="74" t="n"/>
      <c r="C293" s="99" t="n"/>
      <c r="D293" s="58" t="n"/>
      <c r="E293" s="59">
        <f>IFERROR(D293/C293,"")</f>
        <v/>
      </c>
      <c r="F293" s="100" t="n"/>
      <c r="G293" s="57">
        <f>IFERROR(C293*F293,"")</f>
        <v/>
      </c>
    </row>
    <row r="294" ht="15" customHeight="1" s="52">
      <c r="A294" s="61" t="n"/>
      <c r="B294" s="75" t="n"/>
      <c r="C294" s="97" t="n"/>
      <c r="D294" s="63" t="n"/>
      <c r="E294" s="64">
        <f>IFERROR(D294/C294,"")</f>
        <v/>
      </c>
      <c r="F294" s="98" t="n"/>
      <c r="G294" s="62">
        <f>IFERROR(C294*F294,"")</f>
        <v/>
      </c>
    </row>
    <row r="295" ht="15" customHeight="1" s="52">
      <c r="A295" s="56" t="n"/>
      <c r="B295" s="74" t="n"/>
      <c r="C295" s="99" t="n"/>
      <c r="D295" s="58" t="n"/>
      <c r="E295" s="59">
        <f>IFERROR(D295/C295,"")</f>
        <v/>
      </c>
      <c r="F295" s="100" t="n"/>
      <c r="G295" s="57">
        <f>IFERROR(C295*F295,"")</f>
        <v/>
      </c>
    </row>
    <row r="296" ht="15" customHeight="1" s="52">
      <c r="A296" s="61" t="n"/>
      <c r="B296" s="75" t="n"/>
      <c r="C296" s="97" t="n"/>
      <c r="D296" s="63" t="n"/>
      <c r="E296" s="64">
        <f>IFERROR(D296/C296,"")</f>
        <v/>
      </c>
      <c r="F296" s="98" t="n"/>
      <c r="G296" s="62">
        <f>IFERROR(C296*F296,"")</f>
        <v/>
      </c>
    </row>
    <row r="297" ht="15" customHeight="1" s="52">
      <c r="A297" s="56" t="n"/>
      <c r="B297" s="74" t="n"/>
      <c r="C297" s="99" t="n"/>
      <c r="D297" s="58" t="n"/>
      <c r="E297" s="59">
        <f>IFERROR(D297/C297,"")</f>
        <v/>
      </c>
      <c r="F297" s="100" t="n"/>
      <c r="G297" s="57">
        <f>IFERROR(C297*F297,"")</f>
        <v/>
      </c>
    </row>
    <row r="298" ht="15" customHeight="1" s="52">
      <c r="A298" s="61" t="n"/>
      <c r="B298" s="75" t="n"/>
      <c r="C298" s="97" t="n"/>
      <c r="D298" s="63" t="n"/>
      <c r="E298" s="64">
        <f>IFERROR(D298/C298,"")</f>
        <v/>
      </c>
      <c r="F298" s="98" t="n"/>
      <c r="G298" s="62">
        <f>IFERROR(C298*F298,"")</f>
        <v/>
      </c>
    </row>
    <row r="299" ht="15" customHeight="1" s="52">
      <c r="A299" s="56" t="n"/>
      <c r="B299" s="74" t="n"/>
      <c r="C299" s="99" t="n"/>
      <c r="D299" s="58" t="n"/>
      <c r="E299" s="59">
        <f>IFERROR(D299/C299,"")</f>
        <v/>
      </c>
      <c r="F299" s="100" t="n"/>
      <c r="G299" s="57">
        <f>IFERROR(C299*F299,"")</f>
        <v/>
      </c>
    </row>
    <row r="300" ht="15" customHeight="1" s="52">
      <c r="A300" s="61" t="n"/>
      <c r="B300" s="75" t="n"/>
      <c r="C300" s="97" t="n"/>
      <c r="D300" s="63" t="n"/>
      <c r="E300" s="64">
        <f>IFERROR(D300/C300,"")</f>
        <v/>
      </c>
      <c r="F300" s="98" t="n"/>
      <c r="G300" s="62">
        <f>IFERROR(C300*F300,"")</f>
        <v/>
      </c>
    </row>
    <row r="301" ht="15" customHeight="1" s="52">
      <c r="A301" s="56" t="n"/>
      <c r="B301" s="74" t="n"/>
      <c r="C301" s="99" t="n"/>
      <c r="D301" s="58" t="n"/>
      <c r="E301" s="59">
        <f>IFERROR(D301/C301,"")</f>
        <v/>
      </c>
      <c r="F301" s="100" t="n"/>
      <c r="G301" s="57">
        <f>IFERROR(C301*F301,"")</f>
        <v/>
      </c>
    </row>
    <row r="302" ht="15" customHeight="1" s="52">
      <c r="A302" s="61" t="n"/>
      <c r="B302" s="75" t="n"/>
      <c r="C302" s="97" t="n"/>
      <c r="D302" s="63" t="n"/>
      <c r="E302" s="64">
        <f>IFERROR(D302/C302,"")</f>
        <v/>
      </c>
      <c r="F302" s="98" t="n"/>
      <c r="G302" s="62">
        <f>IFERROR(C302*F302,"")</f>
        <v/>
      </c>
    </row>
    <row r="303" ht="15" customHeight="1" s="52">
      <c r="A303" s="56" t="n"/>
      <c r="B303" s="74" t="n"/>
      <c r="C303" s="99" t="n"/>
      <c r="D303" s="58" t="n"/>
      <c r="E303" s="59">
        <f>IFERROR(D303/C303,"")</f>
        <v/>
      </c>
      <c r="F303" s="100" t="n"/>
      <c r="G303" s="57">
        <f>IFERROR(C303*F303,"")</f>
        <v/>
      </c>
    </row>
    <row r="304" ht="15" customHeight="1" s="52">
      <c r="A304" s="61" t="n"/>
      <c r="B304" s="75" t="n"/>
      <c r="C304" s="97" t="n"/>
      <c r="D304" s="63" t="n"/>
      <c r="E304" s="64">
        <f>IFERROR(D304/C304,"")</f>
        <v/>
      </c>
      <c r="F304" s="98" t="n"/>
      <c r="G304" s="62">
        <f>IFERROR(C304*F304,"")</f>
        <v/>
      </c>
    </row>
    <row r="305" ht="15" customHeight="1" s="52">
      <c r="A305" s="56" t="n"/>
      <c r="B305" s="74" t="n"/>
      <c r="C305" s="99" t="n"/>
      <c r="D305" s="58" t="n"/>
      <c r="E305" s="59">
        <f>IFERROR(D305/C305,"")</f>
        <v/>
      </c>
      <c r="F305" s="100" t="n"/>
      <c r="G305" s="57">
        <f>IFERROR(C305*F305,"")</f>
        <v/>
      </c>
    </row>
    <row r="306" ht="15" customHeight="1" s="52">
      <c r="A306" s="61" t="n"/>
      <c r="B306" s="75" t="n"/>
      <c r="C306" s="97" t="n"/>
      <c r="D306" s="63" t="n"/>
      <c r="E306" s="64">
        <f>IFERROR(D306/C306,"")</f>
        <v/>
      </c>
      <c r="F306" s="98" t="n"/>
      <c r="G306" s="62">
        <f>IFERROR(C306*F306,"")</f>
        <v/>
      </c>
    </row>
    <row r="307" ht="15" customHeight="1" s="52">
      <c r="A307" s="56" t="n"/>
      <c r="B307" s="74" t="n"/>
      <c r="C307" s="99" t="n"/>
      <c r="D307" s="58" t="n"/>
      <c r="E307" s="59">
        <f>IFERROR(D307/C307,"")</f>
        <v/>
      </c>
      <c r="F307" s="100" t="n"/>
      <c r="G307" s="57">
        <f>IFERROR(C307*F307,"")</f>
        <v/>
      </c>
    </row>
    <row r="308" ht="15" customHeight="1" s="52">
      <c r="A308" s="61" t="n"/>
      <c r="B308" s="75" t="n"/>
      <c r="C308" s="97" t="n"/>
      <c r="D308" s="63" t="n"/>
      <c r="E308" s="64">
        <f>IFERROR(D308/C308,"")</f>
        <v/>
      </c>
      <c r="F308" s="98" t="n"/>
      <c r="G308" s="62">
        <f>IFERROR(C308*F308,"")</f>
        <v/>
      </c>
    </row>
    <row r="309" ht="15" customHeight="1" s="52">
      <c r="A309" s="56" t="n"/>
      <c r="B309" s="74" t="n"/>
      <c r="C309" s="99" t="n"/>
      <c r="D309" s="58" t="n"/>
      <c r="E309" s="59">
        <f>IFERROR(D309/C309,"")</f>
        <v/>
      </c>
      <c r="F309" s="100" t="n"/>
      <c r="G309" s="57">
        <f>IFERROR(C309*F309,"")</f>
        <v/>
      </c>
    </row>
    <row r="310" ht="15" customHeight="1" s="52">
      <c r="A310" s="61" t="n"/>
      <c r="B310" s="75" t="n"/>
      <c r="C310" s="97" t="n"/>
      <c r="D310" s="63" t="n"/>
      <c r="E310" s="64">
        <f>IFERROR(D310/C310,"")</f>
        <v/>
      </c>
      <c r="F310" s="98" t="n"/>
      <c r="G310" s="62">
        <f>IFERROR(C310*F310,"")</f>
        <v/>
      </c>
    </row>
    <row r="311" ht="15" customHeight="1" s="52">
      <c r="A311" s="56" t="n"/>
      <c r="B311" s="74" t="n"/>
      <c r="C311" s="99" t="n"/>
      <c r="D311" s="58" t="n"/>
      <c r="E311" s="59">
        <f>IFERROR(D311/C311,"")</f>
        <v/>
      </c>
      <c r="F311" s="100" t="n"/>
      <c r="G311" s="57">
        <f>IFERROR(C311*F311,"")</f>
        <v/>
      </c>
    </row>
    <row r="312" ht="15" customHeight="1" s="52">
      <c r="A312" s="61" t="n"/>
      <c r="B312" s="75" t="n"/>
      <c r="C312" s="97" t="n"/>
      <c r="D312" s="63" t="n"/>
      <c r="E312" s="64">
        <f>IFERROR(D312/C312,"")</f>
        <v/>
      </c>
      <c r="F312" s="98" t="n"/>
      <c r="G312" s="62">
        <f>IFERROR(C312*F312,"")</f>
        <v/>
      </c>
    </row>
    <row r="313" ht="15" customHeight="1" s="52">
      <c r="A313" s="56" t="n"/>
      <c r="B313" s="74" t="n"/>
      <c r="C313" s="99" t="n"/>
      <c r="D313" s="58" t="n"/>
      <c r="E313" s="59">
        <f>IFERROR(D313/C313,"")</f>
        <v/>
      </c>
      <c r="F313" s="100" t="n"/>
      <c r="G313" s="57">
        <f>IFERROR(C313*F313,"")</f>
        <v/>
      </c>
    </row>
    <row r="314" ht="15" customHeight="1" s="52">
      <c r="A314" s="61" t="n"/>
      <c r="B314" s="75" t="n"/>
      <c r="C314" s="97" t="n"/>
      <c r="D314" s="63" t="n"/>
      <c r="E314" s="64">
        <f>IFERROR(D314/C314,"")</f>
        <v/>
      </c>
      <c r="F314" s="98" t="n"/>
      <c r="G314" s="62">
        <f>IFERROR(C314*F314,"")</f>
        <v/>
      </c>
    </row>
    <row r="315" ht="15" customHeight="1" s="52">
      <c r="A315" s="56" t="n"/>
      <c r="B315" s="74" t="n"/>
      <c r="C315" s="99" t="n"/>
      <c r="D315" s="58" t="n"/>
      <c r="E315" s="59">
        <f>IFERROR(D315/C315,"")</f>
        <v/>
      </c>
      <c r="F315" s="100" t="n"/>
      <c r="G315" s="57">
        <f>IFERROR(C315*F315,"")</f>
        <v/>
      </c>
    </row>
    <row r="316" ht="15" customHeight="1" s="52">
      <c r="A316" s="61" t="n"/>
      <c r="B316" s="75" t="n"/>
      <c r="C316" s="97" t="n"/>
      <c r="D316" s="63" t="n"/>
      <c r="E316" s="64">
        <f>IFERROR(D316/C316,"")</f>
        <v/>
      </c>
      <c r="F316" s="98" t="n"/>
      <c r="G316" s="62">
        <f>IFERROR(C316*F316,"")</f>
        <v/>
      </c>
    </row>
    <row r="317" ht="15" customHeight="1" s="52">
      <c r="A317" s="56" t="n"/>
      <c r="B317" s="74" t="n"/>
      <c r="C317" s="99" t="n"/>
      <c r="D317" s="58" t="n"/>
      <c r="E317" s="59">
        <f>IFERROR(D317/C317,"")</f>
        <v/>
      </c>
      <c r="F317" s="100" t="n"/>
      <c r="G317" s="57">
        <f>IFERROR(C317*F317,"")</f>
        <v/>
      </c>
    </row>
    <row r="318" ht="15" customHeight="1" s="52">
      <c r="A318" s="61" t="n"/>
      <c r="B318" s="75" t="n"/>
      <c r="C318" s="97" t="n"/>
      <c r="D318" s="63" t="n"/>
      <c r="E318" s="64">
        <f>IFERROR(D318/C318,"")</f>
        <v/>
      </c>
      <c r="F318" s="98" t="n"/>
      <c r="G318" s="62">
        <f>IFERROR(C318*F318,"")</f>
        <v/>
      </c>
    </row>
    <row r="319" ht="15" customHeight="1" s="52">
      <c r="A319" s="56" t="n"/>
      <c r="B319" s="74" t="n"/>
      <c r="C319" s="99" t="n"/>
      <c r="D319" s="58" t="n"/>
      <c r="E319" s="59">
        <f>IFERROR(D319/C319,"")</f>
        <v/>
      </c>
      <c r="F319" s="100" t="n"/>
      <c r="G319" s="57">
        <f>IFERROR(C319*F319,"")</f>
        <v/>
      </c>
    </row>
    <row r="320" ht="15" customHeight="1" s="52">
      <c r="A320" s="61" t="n"/>
      <c r="B320" s="75" t="n"/>
      <c r="C320" s="97" t="n"/>
      <c r="D320" s="63" t="n"/>
      <c r="E320" s="64">
        <f>IFERROR(D320/C320,"")</f>
        <v/>
      </c>
      <c r="F320" s="98" t="n"/>
      <c r="G320" s="62">
        <f>IFERROR(C320*F320,"")</f>
        <v/>
      </c>
    </row>
    <row r="321" ht="15" customHeight="1" s="52">
      <c r="A321" s="56" t="n"/>
      <c r="B321" s="74" t="n"/>
      <c r="C321" s="99" t="n"/>
      <c r="D321" s="58" t="n"/>
      <c r="E321" s="59">
        <f>IFERROR(D321/C321,"")</f>
        <v/>
      </c>
      <c r="F321" s="100" t="n"/>
      <c r="G321" s="57">
        <f>IFERROR(C321*F321,"")</f>
        <v/>
      </c>
    </row>
    <row r="322" ht="15" customHeight="1" s="52">
      <c r="A322" s="61" t="n"/>
      <c r="B322" s="75" t="n"/>
      <c r="C322" s="97" t="n"/>
      <c r="D322" s="63" t="n"/>
      <c r="E322" s="64">
        <f>IFERROR(D322/C322,"")</f>
        <v/>
      </c>
      <c r="F322" s="98" t="n"/>
      <c r="G322" s="62">
        <f>IFERROR(C322*F322,"")</f>
        <v/>
      </c>
    </row>
    <row r="323" ht="15" customHeight="1" s="52">
      <c r="A323" s="56" t="n"/>
      <c r="B323" s="74" t="n"/>
      <c r="C323" s="99" t="n"/>
      <c r="D323" s="58" t="n"/>
      <c r="E323" s="59">
        <f>IFERROR(D323/C323,"")</f>
        <v/>
      </c>
      <c r="F323" s="100" t="n"/>
      <c r="G323" s="57">
        <f>IFERROR(C323*F323,"")</f>
        <v/>
      </c>
    </row>
    <row r="324" ht="15" customHeight="1" s="52">
      <c r="A324" s="61" t="n"/>
      <c r="B324" s="75" t="n"/>
      <c r="C324" s="97" t="n"/>
      <c r="D324" s="63" t="n"/>
      <c r="E324" s="64">
        <f>IFERROR(D324/C324,"")</f>
        <v/>
      </c>
      <c r="F324" s="98" t="n"/>
      <c r="G324" s="62">
        <f>IFERROR(C324*F324,"")</f>
        <v/>
      </c>
    </row>
    <row r="325" ht="15" customHeight="1" s="52">
      <c r="A325" s="56" t="n"/>
      <c r="B325" s="74" t="n"/>
      <c r="C325" s="99" t="n"/>
      <c r="D325" s="58" t="n"/>
      <c r="E325" s="59">
        <f>IFERROR(D325/C325,"")</f>
        <v/>
      </c>
      <c r="F325" s="100" t="n"/>
      <c r="G325" s="57">
        <f>IFERROR(C325*F325,"")</f>
        <v/>
      </c>
    </row>
    <row r="326" ht="15" customHeight="1" s="52">
      <c r="A326" s="61" t="n"/>
      <c r="B326" s="75" t="n"/>
      <c r="C326" s="97" t="n"/>
      <c r="D326" s="63" t="n"/>
      <c r="E326" s="64">
        <f>IFERROR(D326/C326,"")</f>
        <v/>
      </c>
      <c r="F326" s="98" t="n"/>
      <c r="G326" s="62">
        <f>IFERROR(C326*F326,"")</f>
        <v/>
      </c>
    </row>
    <row r="327" ht="15" customHeight="1" s="52">
      <c r="A327" s="56" t="n"/>
      <c r="B327" s="74" t="n"/>
      <c r="C327" s="99" t="n"/>
      <c r="D327" s="58" t="n"/>
      <c r="E327" s="59">
        <f>IFERROR(D327/C327,"")</f>
        <v/>
      </c>
      <c r="F327" s="100" t="n"/>
      <c r="G327" s="57">
        <f>IFERROR(C327*F327,"")</f>
        <v/>
      </c>
    </row>
    <row r="328" ht="15" customHeight="1" s="52">
      <c r="A328" s="61" t="n"/>
      <c r="B328" s="75" t="n"/>
      <c r="C328" s="97" t="n"/>
      <c r="D328" s="63" t="n"/>
      <c r="E328" s="64">
        <f>IFERROR(D328/C328,"")</f>
        <v/>
      </c>
      <c r="F328" s="98" t="n"/>
      <c r="G328" s="62">
        <f>IFERROR(C328*F328,"")</f>
        <v/>
      </c>
    </row>
    <row r="329" ht="15" customHeight="1" s="52">
      <c r="A329" s="56" t="n"/>
      <c r="B329" s="74" t="n"/>
      <c r="C329" s="99" t="n"/>
      <c r="D329" s="58" t="n"/>
      <c r="E329" s="59">
        <f>IFERROR(D329/C329,"")</f>
        <v/>
      </c>
      <c r="F329" s="100" t="n"/>
      <c r="G329" s="57">
        <f>IFERROR(C329*F329,"")</f>
        <v/>
      </c>
    </row>
    <row r="330" ht="15" customHeight="1" s="52">
      <c r="A330" s="61" t="n"/>
      <c r="B330" s="75" t="n"/>
      <c r="C330" s="97" t="n"/>
      <c r="D330" s="63" t="n"/>
      <c r="E330" s="64">
        <f>IFERROR(D330/C330,"")</f>
        <v/>
      </c>
      <c r="F330" s="98" t="n"/>
      <c r="G330" s="62">
        <f>IFERROR(C330*F330,"")</f>
        <v/>
      </c>
    </row>
    <row r="331" ht="15" customHeight="1" s="52">
      <c r="A331" s="56" t="n"/>
      <c r="B331" s="74" t="n"/>
      <c r="C331" s="99" t="n"/>
      <c r="D331" s="58" t="n"/>
      <c r="E331" s="59">
        <f>IFERROR(D331/C331,"")</f>
        <v/>
      </c>
      <c r="F331" s="100" t="n"/>
      <c r="G331" s="57">
        <f>IFERROR(C331*F331,"")</f>
        <v/>
      </c>
    </row>
    <row r="332" ht="15" customHeight="1" s="52">
      <c r="A332" s="61" t="n"/>
      <c r="B332" s="75" t="n"/>
      <c r="C332" s="97" t="n"/>
      <c r="D332" s="63" t="n"/>
      <c r="E332" s="64">
        <f>IFERROR(D332/C332,"")</f>
        <v/>
      </c>
      <c r="F332" s="98" t="n"/>
      <c r="G332" s="62">
        <f>IFERROR(C332*F332,"")</f>
        <v/>
      </c>
    </row>
    <row r="333" ht="15" customHeight="1" s="52">
      <c r="A333" s="56" t="n"/>
      <c r="B333" s="74" t="n"/>
      <c r="C333" s="99" t="n"/>
      <c r="D333" s="58" t="n"/>
      <c r="E333" s="59">
        <f>IFERROR(D333/C333,"")</f>
        <v/>
      </c>
      <c r="F333" s="100" t="n"/>
      <c r="G333" s="57">
        <f>IFERROR(C333*F333,"")</f>
        <v/>
      </c>
    </row>
    <row r="334" ht="15" customHeight="1" s="52">
      <c r="A334" s="61" t="n"/>
      <c r="B334" s="75" t="n"/>
      <c r="C334" s="97" t="n"/>
      <c r="D334" s="63" t="n"/>
      <c r="E334" s="64">
        <f>IFERROR(D334/C334,"")</f>
        <v/>
      </c>
      <c r="F334" s="98" t="n"/>
      <c r="G334" s="62">
        <f>IFERROR(C334*F334,"")</f>
        <v/>
      </c>
    </row>
    <row r="335" ht="15" customHeight="1" s="52">
      <c r="A335" s="56" t="n"/>
      <c r="B335" s="74" t="n"/>
      <c r="C335" s="99" t="n"/>
      <c r="D335" s="58" t="n"/>
      <c r="E335" s="59">
        <f>IFERROR(D335/C335,"")</f>
        <v/>
      </c>
      <c r="F335" s="100" t="n"/>
      <c r="G335" s="57">
        <f>IFERROR(C335*F335,"")</f>
        <v/>
      </c>
    </row>
    <row r="336" ht="15" customHeight="1" s="52">
      <c r="A336" s="61" t="n"/>
      <c r="B336" s="75" t="n"/>
      <c r="C336" s="97" t="n"/>
      <c r="D336" s="63" t="n"/>
      <c r="E336" s="64">
        <f>IFERROR(D336/C336,"")</f>
        <v/>
      </c>
      <c r="F336" s="98" t="n"/>
      <c r="G336" s="62">
        <f>IFERROR(C336*F336,"")</f>
        <v/>
      </c>
    </row>
    <row r="337" ht="15" customHeight="1" s="52">
      <c r="A337" s="56" t="n"/>
      <c r="B337" s="74" t="n"/>
      <c r="C337" s="99" t="n"/>
      <c r="D337" s="58" t="n"/>
      <c r="E337" s="59">
        <f>IFERROR(D337/C337,"")</f>
        <v/>
      </c>
      <c r="F337" s="100" t="n"/>
      <c r="G337" s="57">
        <f>IFERROR(C337*F337,"")</f>
        <v/>
      </c>
    </row>
    <row r="338" ht="15" customHeight="1" s="52">
      <c r="A338" s="61" t="n"/>
      <c r="B338" s="75" t="n"/>
      <c r="C338" s="97" t="n"/>
      <c r="D338" s="63" t="n"/>
      <c r="E338" s="64">
        <f>IFERROR(D338/C338,"")</f>
        <v/>
      </c>
      <c r="F338" s="98" t="n"/>
      <c r="G338" s="62">
        <f>IFERROR(C338*F338,"")</f>
        <v/>
      </c>
    </row>
    <row r="339" ht="15" customHeight="1" s="52">
      <c r="A339" s="56" t="n"/>
      <c r="B339" s="74" t="n"/>
      <c r="C339" s="99" t="n"/>
      <c r="D339" s="58" t="n"/>
      <c r="E339" s="59">
        <f>IFERROR(D339/C339,"")</f>
        <v/>
      </c>
      <c r="F339" s="100" t="n"/>
      <c r="G339" s="57">
        <f>IFERROR(C339*F339,"")</f>
        <v/>
      </c>
    </row>
    <row r="340" ht="15" customHeight="1" s="52">
      <c r="A340" s="61" t="n"/>
      <c r="B340" s="75" t="n"/>
      <c r="C340" s="97" t="n"/>
      <c r="D340" s="63" t="n"/>
      <c r="E340" s="64">
        <f>IFERROR(D340/C340,"")</f>
        <v/>
      </c>
      <c r="F340" s="98" t="n"/>
      <c r="G340" s="62">
        <f>IFERROR(C340*F340,"")</f>
        <v/>
      </c>
    </row>
    <row r="341" ht="15" customHeight="1" s="52">
      <c r="A341" s="56" t="n"/>
      <c r="B341" s="74" t="n"/>
      <c r="C341" s="99" t="n"/>
      <c r="D341" s="58" t="n"/>
      <c r="E341" s="59">
        <f>IFERROR(D341/C341,"")</f>
        <v/>
      </c>
      <c r="F341" s="100" t="n"/>
      <c r="G341" s="57">
        <f>IFERROR(C341*F341,"")</f>
        <v/>
      </c>
    </row>
    <row r="342" ht="15" customHeight="1" s="52">
      <c r="A342" s="61" t="n"/>
      <c r="B342" s="75" t="n"/>
      <c r="C342" s="97" t="n"/>
      <c r="D342" s="63" t="n"/>
      <c r="E342" s="64">
        <f>IFERROR(D342/C342,"")</f>
        <v/>
      </c>
      <c r="F342" s="98" t="n"/>
      <c r="G342" s="62">
        <f>IFERROR(C342*F342,"")</f>
        <v/>
      </c>
    </row>
    <row r="343" ht="15" customHeight="1" s="52">
      <c r="A343" s="56" t="n"/>
      <c r="B343" s="74" t="n"/>
      <c r="C343" s="99" t="n"/>
      <c r="D343" s="58" t="n"/>
      <c r="E343" s="59">
        <f>IFERROR(D343/C343,"")</f>
        <v/>
      </c>
      <c r="F343" s="100" t="n"/>
      <c r="G343" s="57">
        <f>IFERROR(C343*F343,"")</f>
        <v/>
      </c>
    </row>
    <row r="344" ht="15" customHeight="1" s="52">
      <c r="A344" s="61" t="n"/>
      <c r="B344" s="75" t="n"/>
      <c r="C344" s="97" t="n"/>
      <c r="D344" s="63" t="n"/>
      <c r="E344" s="64">
        <f>IFERROR(D344/C344,"")</f>
        <v/>
      </c>
      <c r="F344" s="98" t="n"/>
      <c r="G344" s="62">
        <f>IFERROR(C344*F344,"")</f>
        <v/>
      </c>
    </row>
    <row r="345" ht="15" customHeight="1" s="52">
      <c r="A345" s="56" t="n"/>
      <c r="B345" s="74" t="n"/>
      <c r="C345" s="99" t="n"/>
      <c r="D345" s="58" t="n"/>
      <c r="E345" s="59">
        <f>IFERROR(D345/C345,"")</f>
        <v/>
      </c>
      <c r="F345" s="100" t="n"/>
      <c r="G345" s="57">
        <f>IFERROR(C345*F345,"")</f>
        <v/>
      </c>
    </row>
    <row r="346" ht="15" customHeight="1" s="52">
      <c r="A346" s="61" t="n"/>
      <c r="B346" s="75" t="n"/>
      <c r="C346" s="97" t="n"/>
      <c r="D346" s="63" t="n"/>
      <c r="E346" s="64">
        <f>IFERROR(D346/C346,"")</f>
        <v/>
      </c>
      <c r="F346" s="98" t="n"/>
      <c r="G346" s="62">
        <f>IFERROR(C346*F346,"")</f>
        <v/>
      </c>
    </row>
    <row r="347" ht="15" customHeight="1" s="52">
      <c r="A347" s="56" t="n"/>
      <c r="B347" s="74" t="n"/>
      <c r="C347" s="99" t="n"/>
      <c r="D347" s="58" t="n"/>
      <c r="E347" s="59">
        <f>IFERROR(D347/C347,"")</f>
        <v/>
      </c>
      <c r="F347" s="100" t="n"/>
      <c r="G347" s="57">
        <f>IFERROR(C347*F347,"")</f>
        <v/>
      </c>
    </row>
    <row r="348" ht="15" customHeight="1" s="52">
      <c r="A348" s="61" t="n"/>
      <c r="B348" s="75" t="n"/>
      <c r="C348" s="97" t="n"/>
      <c r="D348" s="63" t="n"/>
      <c r="E348" s="64">
        <f>IFERROR(D348/C348,"")</f>
        <v/>
      </c>
      <c r="F348" s="98" t="n"/>
      <c r="G348" s="62">
        <f>IFERROR(C348*F348,"")</f>
        <v/>
      </c>
    </row>
    <row r="349" ht="15" customHeight="1" s="52">
      <c r="A349" s="56" t="n"/>
      <c r="B349" s="74" t="n"/>
      <c r="C349" s="99" t="n"/>
      <c r="D349" s="58" t="n"/>
      <c r="E349" s="59">
        <f>IFERROR(D349/C349,"")</f>
        <v/>
      </c>
      <c r="F349" s="100" t="n"/>
      <c r="G349" s="57">
        <f>IFERROR(C349*F349,"")</f>
        <v/>
      </c>
    </row>
    <row r="350" ht="15" customHeight="1" s="52">
      <c r="A350" s="61" t="n"/>
      <c r="B350" s="75" t="n"/>
      <c r="C350" s="97" t="n"/>
      <c r="D350" s="63" t="n"/>
      <c r="E350" s="64">
        <f>IFERROR(D350/C350,"")</f>
        <v/>
      </c>
      <c r="F350" s="98" t="n"/>
      <c r="G350" s="62">
        <f>IFERROR(C350*F350,"")</f>
        <v/>
      </c>
    </row>
    <row r="351" ht="15" customHeight="1" s="52">
      <c r="A351" s="56" t="n"/>
      <c r="B351" s="74" t="n"/>
      <c r="C351" s="99" t="n"/>
      <c r="D351" s="58" t="n"/>
      <c r="E351" s="59">
        <f>IFERROR(D351/C351,"")</f>
        <v/>
      </c>
      <c r="F351" s="100" t="n"/>
      <c r="G351" s="57">
        <f>IFERROR(C351*F351,"")</f>
        <v/>
      </c>
    </row>
    <row r="352" ht="15" customHeight="1" s="52">
      <c r="A352" s="61" t="n"/>
      <c r="B352" s="75" t="n"/>
      <c r="C352" s="97" t="n"/>
      <c r="D352" s="63" t="n"/>
      <c r="E352" s="64">
        <f>IFERROR(D352/C352,"")</f>
        <v/>
      </c>
      <c r="F352" s="98" t="n"/>
      <c r="G352" s="62">
        <f>IFERROR(C352*F352,"")</f>
        <v/>
      </c>
    </row>
    <row r="353" ht="15" customHeight="1" s="52">
      <c r="A353" s="56" t="n"/>
      <c r="B353" s="74" t="n"/>
      <c r="C353" s="99" t="n"/>
      <c r="D353" s="58" t="n"/>
      <c r="E353" s="59">
        <f>IFERROR(D353/C353,"")</f>
        <v/>
      </c>
      <c r="F353" s="100" t="n"/>
      <c r="G353" s="57">
        <f>IFERROR(C353*F353,"")</f>
        <v/>
      </c>
    </row>
    <row r="354" ht="15" customHeight="1" s="52">
      <c r="A354" s="61" t="n"/>
      <c r="B354" s="75" t="n"/>
      <c r="C354" s="97" t="n"/>
      <c r="D354" s="63" t="n"/>
      <c r="E354" s="64">
        <f>IFERROR(D354/C354,"")</f>
        <v/>
      </c>
      <c r="F354" s="98" t="n"/>
      <c r="G354" s="62">
        <f>IFERROR(C354*F354,"")</f>
        <v/>
      </c>
    </row>
    <row r="355" ht="15" customHeight="1" s="52">
      <c r="A355" s="56" t="n"/>
      <c r="B355" s="74" t="n"/>
      <c r="C355" s="99" t="n"/>
      <c r="D355" s="58" t="n"/>
      <c r="E355" s="59">
        <f>IFERROR(D355/C355,"")</f>
        <v/>
      </c>
      <c r="F355" s="100" t="n"/>
      <c r="G355" s="57">
        <f>IFERROR(C355*F355,"")</f>
        <v/>
      </c>
    </row>
    <row r="356" ht="15" customHeight="1" s="52">
      <c r="A356" s="61" t="n"/>
      <c r="B356" s="75" t="n"/>
      <c r="C356" s="97" t="n"/>
      <c r="D356" s="63" t="n"/>
      <c r="E356" s="64">
        <f>IFERROR(D356/C356,"")</f>
        <v/>
      </c>
      <c r="F356" s="98" t="n"/>
      <c r="G356" s="62">
        <f>IFERROR(C356*F356,"")</f>
        <v/>
      </c>
    </row>
    <row r="357" ht="15" customHeight="1" s="52">
      <c r="A357" s="56" t="n"/>
      <c r="B357" s="74" t="n"/>
      <c r="C357" s="99" t="n"/>
      <c r="D357" s="58" t="n"/>
      <c r="E357" s="59">
        <f>IFERROR(D357/C357,"")</f>
        <v/>
      </c>
      <c r="F357" s="100" t="n"/>
      <c r="G357" s="57">
        <f>IFERROR(C357*F357,"")</f>
        <v/>
      </c>
    </row>
    <row r="358" ht="15" customHeight="1" s="52">
      <c r="A358" s="61" t="n"/>
      <c r="B358" s="75" t="n"/>
      <c r="C358" s="97" t="n"/>
      <c r="D358" s="63" t="n"/>
      <c r="E358" s="64">
        <f>IFERROR(D358/C358,"")</f>
        <v/>
      </c>
      <c r="F358" s="98" t="n"/>
      <c r="G358" s="62">
        <f>IFERROR(C358*F358,"")</f>
        <v/>
      </c>
    </row>
    <row r="359" ht="15" customHeight="1" s="52">
      <c r="A359" s="56" t="n"/>
      <c r="B359" s="74" t="n"/>
      <c r="C359" s="99" t="n"/>
      <c r="D359" s="58" t="n"/>
      <c r="E359" s="59">
        <f>IFERROR(D359/C359,"")</f>
        <v/>
      </c>
      <c r="F359" s="100" t="n"/>
      <c r="G359" s="57">
        <f>IFERROR(C359*F359,"")</f>
        <v/>
      </c>
    </row>
    <row r="360" ht="15" customHeight="1" s="52">
      <c r="A360" s="61" t="n"/>
      <c r="B360" s="75" t="n"/>
      <c r="C360" s="97" t="n"/>
      <c r="D360" s="63" t="n"/>
      <c r="E360" s="64">
        <f>IFERROR(D360/C360,"")</f>
        <v/>
      </c>
      <c r="F360" s="98" t="n"/>
      <c r="G360" s="62">
        <f>IFERROR(C360*F360,"")</f>
        <v/>
      </c>
    </row>
    <row r="361" ht="15" customHeight="1" s="52">
      <c r="A361" s="56" t="n"/>
      <c r="B361" s="74" t="n"/>
      <c r="C361" s="99" t="n"/>
      <c r="D361" s="58" t="n"/>
      <c r="E361" s="59">
        <f>IFERROR(D361/C361,"")</f>
        <v/>
      </c>
      <c r="F361" s="100" t="n"/>
      <c r="G361" s="57">
        <f>IFERROR(C361*F361,"")</f>
        <v/>
      </c>
    </row>
    <row r="362" ht="15" customHeight="1" s="52">
      <c r="A362" s="61" t="n"/>
      <c r="B362" s="75" t="n"/>
      <c r="C362" s="97" t="n"/>
      <c r="D362" s="63" t="n"/>
      <c r="E362" s="64">
        <f>IFERROR(D362/C362,"")</f>
        <v/>
      </c>
      <c r="F362" s="98" t="n"/>
      <c r="G362" s="62">
        <f>IFERROR(C362*F362,"")</f>
        <v/>
      </c>
    </row>
    <row r="363" ht="15" customHeight="1" s="52">
      <c r="A363" s="56" t="n"/>
      <c r="B363" s="74" t="n"/>
      <c r="C363" s="99" t="n"/>
      <c r="D363" s="58" t="n"/>
      <c r="E363" s="59">
        <f>IFERROR(D363/C363,"")</f>
        <v/>
      </c>
      <c r="F363" s="100" t="n"/>
      <c r="G363" s="57">
        <f>IFERROR(C363*F363,"")</f>
        <v/>
      </c>
    </row>
    <row r="364" ht="15" customHeight="1" s="52">
      <c r="A364" s="61" t="n"/>
      <c r="B364" s="75" t="n"/>
      <c r="C364" s="97" t="n"/>
      <c r="D364" s="63" t="n"/>
      <c r="E364" s="64">
        <f>IFERROR(D364/C364,"")</f>
        <v/>
      </c>
      <c r="F364" s="98" t="n"/>
      <c r="G364" s="62">
        <f>IFERROR(C364*F364,"")</f>
        <v/>
      </c>
    </row>
    <row r="365" ht="15" customHeight="1" s="52">
      <c r="A365" s="56" t="n"/>
      <c r="B365" s="74" t="n"/>
      <c r="C365" s="99" t="n"/>
      <c r="D365" s="58" t="n"/>
      <c r="E365" s="59">
        <f>IFERROR(D365/C365,"")</f>
        <v/>
      </c>
      <c r="F365" s="100" t="n"/>
      <c r="G365" s="57">
        <f>IFERROR(C365*F365,"")</f>
        <v/>
      </c>
    </row>
    <row r="366" ht="15" customHeight="1" s="52">
      <c r="A366" s="61" t="n"/>
      <c r="B366" s="75" t="n"/>
      <c r="C366" s="97" t="n"/>
      <c r="D366" s="63" t="n"/>
      <c r="E366" s="64">
        <f>IFERROR(D366/C366,"")</f>
        <v/>
      </c>
      <c r="F366" s="98" t="n"/>
      <c r="G366" s="62">
        <f>IFERROR(C366*F366,"")</f>
        <v/>
      </c>
    </row>
    <row r="367" ht="15" customHeight="1" s="52">
      <c r="A367" s="56" t="n"/>
      <c r="B367" s="74" t="n"/>
      <c r="C367" s="99" t="n"/>
      <c r="D367" s="58" t="n"/>
      <c r="E367" s="59">
        <f>IFERROR(D367/C367,"")</f>
        <v/>
      </c>
      <c r="F367" s="100" t="n"/>
      <c r="G367" s="57">
        <f>IFERROR(C367*F367,"")</f>
        <v/>
      </c>
    </row>
    <row r="368" ht="15" customHeight="1" s="52">
      <c r="A368" s="61" t="n"/>
      <c r="B368" s="75" t="n"/>
      <c r="C368" s="97" t="n"/>
      <c r="D368" s="63" t="n"/>
      <c r="E368" s="64">
        <f>IFERROR(D368/C368,"")</f>
        <v/>
      </c>
      <c r="F368" s="98" t="n"/>
      <c r="G368" s="62">
        <f>IFERROR(C368*F368,"")</f>
        <v/>
      </c>
    </row>
    <row r="369" ht="15" customHeight="1" s="52">
      <c r="A369" s="56" t="n"/>
      <c r="B369" s="74" t="n"/>
      <c r="C369" s="99" t="n"/>
      <c r="D369" s="58" t="n"/>
      <c r="E369" s="59">
        <f>IFERROR(D369/C369,"")</f>
        <v/>
      </c>
      <c r="F369" s="100" t="n"/>
      <c r="G369" s="57">
        <f>IFERROR(C369*F369,"")</f>
        <v/>
      </c>
    </row>
    <row r="370" ht="15" customHeight="1" s="52">
      <c r="A370" s="61" t="n"/>
      <c r="B370" s="75" t="n"/>
      <c r="C370" s="97" t="n"/>
      <c r="D370" s="63" t="n"/>
      <c r="E370" s="64">
        <f>IFERROR(D370/C370,"")</f>
        <v/>
      </c>
      <c r="F370" s="98" t="n"/>
      <c r="G370" s="62">
        <f>IFERROR(C370*F370,"")</f>
        <v/>
      </c>
    </row>
    <row r="371" ht="15" customHeight="1" s="52">
      <c r="A371" s="56" t="n"/>
      <c r="B371" s="74" t="n"/>
      <c r="C371" s="99" t="n"/>
      <c r="D371" s="58" t="n"/>
      <c r="E371" s="59">
        <f>IFERROR(D371/C371,"")</f>
        <v/>
      </c>
      <c r="F371" s="100" t="n"/>
      <c r="G371" s="57">
        <f>IFERROR(C371*F371,"")</f>
        <v/>
      </c>
    </row>
    <row r="372" ht="15" customHeight="1" s="52">
      <c r="A372" s="61" t="n"/>
      <c r="B372" s="75" t="n"/>
      <c r="C372" s="97" t="n"/>
      <c r="D372" s="63" t="n"/>
      <c r="E372" s="64">
        <f>IFERROR(D372/C372,"")</f>
        <v/>
      </c>
      <c r="F372" s="98" t="n"/>
      <c r="G372" s="62">
        <f>IFERROR(C372*F372,"")</f>
        <v/>
      </c>
    </row>
    <row r="373" ht="15" customHeight="1" s="52">
      <c r="A373" s="56" t="n"/>
      <c r="B373" s="74" t="n"/>
      <c r="C373" s="99" t="n"/>
      <c r="D373" s="58" t="n"/>
      <c r="E373" s="59">
        <f>IFERROR(D373/C373,"")</f>
        <v/>
      </c>
      <c r="F373" s="100" t="n"/>
      <c r="G373" s="57">
        <f>IFERROR(C373*F373,"")</f>
        <v/>
      </c>
    </row>
    <row r="374" ht="15" customHeight="1" s="52">
      <c r="A374" s="61" t="n"/>
      <c r="B374" s="75" t="n"/>
      <c r="C374" s="97" t="n"/>
      <c r="D374" s="63" t="n"/>
      <c r="E374" s="64">
        <f>IFERROR(D374/C374,"")</f>
        <v/>
      </c>
      <c r="F374" s="98" t="n"/>
      <c r="G374" s="62">
        <f>IFERROR(C374*F374,"")</f>
        <v/>
      </c>
    </row>
    <row r="375" ht="15" customHeight="1" s="52">
      <c r="A375" s="56" t="n"/>
      <c r="B375" s="74" t="n"/>
      <c r="C375" s="99" t="n"/>
      <c r="D375" s="58" t="n"/>
      <c r="E375" s="59">
        <f>IFERROR(D375/C375,"")</f>
        <v/>
      </c>
      <c r="F375" s="100" t="n"/>
      <c r="G375" s="57">
        <f>IFERROR(C375*F375,"")</f>
        <v/>
      </c>
    </row>
    <row r="376" ht="15" customHeight="1" s="52">
      <c r="A376" s="61" t="n"/>
      <c r="B376" s="75" t="n"/>
      <c r="C376" s="97" t="n"/>
      <c r="D376" s="63" t="n"/>
      <c r="E376" s="64">
        <f>IFERROR(D376/C376,"")</f>
        <v/>
      </c>
      <c r="F376" s="98" t="n"/>
      <c r="G376" s="62">
        <f>IFERROR(C376*F376,"")</f>
        <v/>
      </c>
    </row>
    <row r="377" ht="15" customHeight="1" s="52">
      <c r="A377" s="56" t="n"/>
      <c r="B377" s="74" t="n"/>
      <c r="C377" s="99" t="n"/>
      <c r="D377" s="58" t="n"/>
      <c r="E377" s="59">
        <f>IFERROR(D377/C377,"")</f>
        <v/>
      </c>
      <c r="F377" s="100" t="n"/>
      <c r="G377" s="57">
        <f>IFERROR(C377*F377,"")</f>
        <v/>
      </c>
    </row>
    <row r="378" ht="15" customHeight="1" s="52">
      <c r="A378" s="61" t="n"/>
      <c r="B378" s="75" t="n"/>
      <c r="C378" s="97" t="n"/>
      <c r="D378" s="63" t="n"/>
      <c r="E378" s="64">
        <f>IFERROR(D378/C378,"")</f>
        <v/>
      </c>
      <c r="F378" s="98" t="n"/>
      <c r="G378" s="62">
        <f>IFERROR(C378*F378,"")</f>
        <v/>
      </c>
    </row>
    <row r="379" ht="15" customHeight="1" s="52">
      <c r="A379" s="56" t="n"/>
      <c r="B379" s="74" t="n"/>
      <c r="C379" s="99" t="n"/>
      <c r="D379" s="58" t="n"/>
      <c r="E379" s="59">
        <f>IFERROR(D379/C379,"")</f>
        <v/>
      </c>
      <c r="F379" s="100" t="n"/>
      <c r="G379" s="57">
        <f>IFERROR(C379*F379,"")</f>
        <v/>
      </c>
    </row>
    <row r="380" ht="15" customHeight="1" s="52">
      <c r="A380" s="61" t="n"/>
      <c r="B380" s="75" t="n"/>
      <c r="C380" s="97" t="n"/>
      <c r="D380" s="63" t="n"/>
      <c r="E380" s="64">
        <f>IFERROR(D380/C380,"")</f>
        <v/>
      </c>
      <c r="F380" s="98" t="n"/>
      <c r="G380" s="62">
        <f>IFERROR(C380*F380,"")</f>
        <v/>
      </c>
    </row>
    <row r="381" ht="15" customHeight="1" s="52">
      <c r="A381" s="56" t="n"/>
      <c r="B381" s="74" t="n"/>
      <c r="C381" s="99" t="n"/>
      <c r="D381" s="58" t="n"/>
      <c r="E381" s="59">
        <f>IFERROR(D381/C381,"")</f>
        <v/>
      </c>
      <c r="F381" s="100" t="n"/>
      <c r="G381" s="57">
        <f>IFERROR(C381*F381,"")</f>
        <v/>
      </c>
    </row>
    <row r="382" ht="15" customHeight="1" s="52">
      <c r="A382" s="61" t="n"/>
      <c r="B382" s="75" t="n"/>
      <c r="C382" s="97" t="n"/>
      <c r="D382" s="63" t="n"/>
      <c r="E382" s="64">
        <f>IFERROR(D382/C382,"")</f>
        <v/>
      </c>
      <c r="F382" s="98" t="n"/>
      <c r="G382" s="62">
        <f>IFERROR(C382*F382,"")</f>
        <v/>
      </c>
    </row>
    <row r="383" ht="15" customHeight="1" s="52">
      <c r="A383" s="56" t="n"/>
      <c r="B383" s="74" t="n"/>
      <c r="C383" s="99" t="n"/>
      <c r="D383" s="58" t="n"/>
      <c r="E383" s="59">
        <f>IFERROR(D383/C383,"")</f>
        <v/>
      </c>
      <c r="F383" s="100" t="n"/>
      <c r="G383" s="57">
        <f>IFERROR(C383*F383,"")</f>
        <v/>
      </c>
    </row>
    <row r="384" ht="15" customHeight="1" s="52">
      <c r="A384" s="61" t="n"/>
      <c r="B384" s="75" t="n"/>
      <c r="C384" s="97" t="n"/>
      <c r="D384" s="63" t="n"/>
      <c r="E384" s="64">
        <f>IFERROR(D384/C384,"")</f>
        <v/>
      </c>
      <c r="F384" s="98" t="n"/>
      <c r="G384" s="62">
        <f>IFERROR(C384*F384,"")</f>
        <v/>
      </c>
    </row>
    <row r="385" ht="15" customHeight="1" s="52">
      <c r="A385" s="56" t="n"/>
      <c r="B385" s="74" t="n"/>
      <c r="C385" s="99" t="n"/>
      <c r="D385" s="58" t="n"/>
      <c r="E385" s="59">
        <f>IFERROR(D385/C385,"")</f>
        <v/>
      </c>
      <c r="F385" s="100" t="n"/>
      <c r="G385" s="57">
        <f>IFERROR(C385*F385,"")</f>
        <v/>
      </c>
    </row>
    <row r="386" ht="15" customHeight="1" s="52">
      <c r="A386" s="61" t="n"/>
      <c r="B386" s="75" t="n"/>
      <c r="C386" s="97" t="n"/>
      <c r="D386" s="63" t="n"/>
      <c r="E386" s="64">
        <f>IFERROR(D386/C386,"")</f>
        <v/>
      </c>
      <c r="F386" s="98" t="n"/>
      <c r="G386" s="62">
        <f>IFERROR(C386*F386,"")</f>
        <v/>
      </c>
    </row>
    <row r="387" ht="15" customHeight="1" s="52">
      <c r="A387" s="56" t="n"/>
      <c r="B387" s="74" t="n"/>
      <c r="C387" s="99" t="n"/>
      <c r="D387" s="58" t="n"/>
      <c r="E387" s="59">
        <f>IFERROR(D387/C387,"")</f>
        <v/>
      </c>
      <c r="F387" s="100" t="n"/>
      <c r="G387" s="57">
        <f>IFERROR(C387*F387,"")</f>
        <v/>
      </c>
    </row>
    <row r="388" ht="15" customHeight="1" s="52">
      <c r="A388" s="61" t="n"/>
      <c r="B388" s="75" t="n"/>
      <c r="C388" s="97" t="n"/>
      <c r="D388" s="63" t="n"/>
      <c r="E388" s="64">
        <f>IFERROR(D388/C388,"")</f>
        <v/>
      </c>
      <c r="F388" s="98" t="n"/>
      <c r="G388" s="62">
        <f>IFERROR(C388*F388,"")</f>
        <v/>
      </c>
    </row>
    <row r="389" ht="15" customHeight="1" s="52">
      <c r="A389" s="56" t="n"/>
      <c r="B389" s="74" t="n"/>
      <c r="C389" s="99" t="n"/>
      <c r="D389" s="58" t="n"/>
      <c r="E389" s="59">
        <f>IFERROR(D389/C389,"")</f>
        <v/>
      </c>
      <c r="F389" s="100" t="n"/>
      <c r="G389" s="57">
        <f>IFERROR(C389*F389,"")</f>
        <v/>
      </c>
    </row>
    <row r="390" ht="15" customHeight="1" s="52">
      <c r="A390" s="61" t="n"/>
      <c r="B390" s="75" t="n"/>
      <c r="C390" s="97" t="n"/>
      <c r="D390" s="63" t="n"/>
      <c r="E390" s="64">
        <f>IFERROR(D390/C390,"")</f>
        <v/>
      </c>
      <c r="F390" s="98" t="n"/>
      <c r="G390" s="62">
        <f>IFERROR(C390*F390,"")</f>
        <v/>
      </c>
    </row>
    <row r="391" ht="15" customHeight="1" s="52">
      <c r="A391" s="56" t="n"/>
      <c r="B391" s="74" t="n"/>
      <c r="C391" s="99" t="n"/>
      <c r="D391" s="58" t="n"/>
      <c r="E391" s="59">
        <f>IFERROR(D391/C391,"")</f>
        <v/>
      </c>
      <c r="F391" s="100" t="n"/>
      <c r="G391" s="57">
        <f>IFERROR(C391*F391,"")</f>
        <v/>
      </c>
    </row>
    <row r="392" ht="15" customHeight="1" s="52">
      <c r="A392" s="61" t="n"/>
      <c r="B392" s="75" t="n"/>
      <c r="C392" s="97" t="n"/>
      <c r="D392" s="63" t="n"/>
      <c r="E392" s="64">
        <f>IFERROR(D392/C392,"")</f>
        <v/>
      </c>
      <c r="F392" s="98" t="n"/>
      <c r="G392" s="62">
        <f>IFERROR(C392*F392,"")</f>
        <v/>
      </c>
    </row>
    <row r="393" ht="15" customHeight="1" s="52">
      <c r="A393" s="56" t="n"/>
      <c r="B393" s="74" t="n"/>
      <c r="C393" s="99" t="n"/>
      <c r="D393" s="58" t="n"/>
      <c r="E393" s="59">
        <f>IFERROR(D393/C393,"")</f>
        <v/>
      </c>
      <c r="F393" s="100" t="n"/>
      <c r="G393" s="57">
        <f>IFERROR(C393*F393,"")</f>
        <v/>
      </c>
    </row>
    <row r="394" ht="15" customHeight="1" s="52">
      <c r="A394" s="61" t="n"/>
      <c r="B394" s="75" t="n"/>
      <c r="C394" s="97" t="n"/>
      <c r="D394" s="63" t="n"/>
      <c r="E394" s="64">
        <f>IFERROR(D394/C394,"")</f>
        <v/>
      </c>
      <c r="F394" s="98" t="n"/>
      <c r="G394" s="62">
        <f>IFERROR(C394*F394,"")</f>
        <v/>
      </c>
    </row>
    <row r="395" ht="15" customHeight="1" s="52">
      <c r="A395" s="56" t="n"/>
      <c r="B395" s="74" t="n"/>
      <c r="C395" s="99" t="n"/>
      <c r="D395" s="58" t="n"/>
      <c r="E395" s="59">
        <f>IFERROR(D395/C395,"")</f>
        <v/>
      </c>
      <c r="F395" s="100" t="n"/>
      <c r="G395" s="57">
        <f>IFERROR(C395*F395,"")</f>
        <v/>
      </c>
    </row>
    <row r="396" ht="15" customHeight="1" s="52">
      <c r="A396" s="61" t="n"/>
      <c r="B396" s="75" t="n"/>
      <c r="C396" s="97" t="n"/>
      <c r="D396" s="63" t="n"/>
      <c r="E396" s="64">
        <f>IFERROR(D396/C396,"")</f>
        <v/>
      </c>
      <c r="F396" s="98" t="n"/>
      <c r="G396" s="62">
        <f>IFERROR(C396*F396,"")</f>
        <v/>
      </c>
    </row>
    <row r="397" ht="15" customHeight="1" s="52">
      <c r="A397" s="56" t="n"/>
      <c r="B397" s="74" t="n"/>
      <c r="C397" s="99" t="n"/>
      <c r="D397" s="58" t="n"/>
      <c r="E397" s="59">
        <f>IFERROR(D397/C397,"")</f>
        <v/>
      </c>
      <c r="F397" s="100" t="n"/>
      <c r="G397" s="57">
        <f>IFERROR(C397*F397,"")</f>
        <v/>
      </c>
    </row>
    <row r="398" ht="15" customHeight="1" s="52">
      <c r="A398" s="61" t="n"/>
      <c r="B398" s="75" t="n"/>
      <c r="C398" s="97" t="n"/>
      <c r="D398" s="63" t="n"/>
      <c r="E398" s="64">
        <f>IFERROR(D398/C398,"")</f>
        <v/>
      </c>
      <c r="F398" s="98" t="n"/>
      <c r="G398" s="62">
        <f>IFERROR(C398*F398,"")</f>
        <v/>
      </c>
    </row>
    <row r="399" ht="15" customHeight="1" s="52">
      <c r="A399" s="56" t="n"/>
      <c r="B399" s="74" t="n"/>
      <c r="C399" s="99" t="n"/>
      <c r="D399" s="58" t="n"/>
      <c r="E399" s="59">
        <f>IFERROR(D399/C399,"")</f>
        <v/>
      </c>
      <c r="F399" s="100" t="n"/>
      <c r="G399" s="57">
        <f>IFERROR(C399*F399,"")</f>
        <v/>
      </c>
    </row>
    <row r="400" ht="15" customHeight="1" s="52">
      <c r="A400" s="61" t="n"/>
      <c r="B400" s="75" t="n"/>
      <c r="C400" s="97" t="n"/>
      <c r="D400" s="63" t="n"/>
      <c r="E400" s="64">
        <f>IFERROR(D400/C400,"")</f>
        <v/>
      </c>
      <c r="F400" s="98" t="n"/>
      <c r="G400" s="62">
        <f>IFERROR(C400*F400,"")</f>
        <v/>
      </c>
    </row>
    <row r="401" ht="15" customHeight="1" s="52">
      <c r="A401" s="56" t="n"/>
      <c r="B401" s="74" t="n"/>
      <c r="C401" s="99" t="n"/>
      <c r="D401" s="58" t="n"/>
      <c r="E401" s="59">
        <f>IFERROR(D401/C401,"")</f>
        <v/>
      </c>
      <c r="F401" s="100" t="n"/>
      <c r="G401" s="57">
        <f>IFERROR(C401*F401,"")</f>
        <v/>
      </c>
    </row>
    <row r="402" ht="15" customHeight="1" s="52">
      <c r="A402" s="61" t="n"/>
      <c r="B402" s="75" t="n"/>
      <c r="C402" s="97" t="n"/>
      <c r="D402" s="63" t="n"/>
      <c r="E402" s="64">
        <f>IFERROR(D402/C402,"")</f>
        <v/>
      </c>
      <c r="F402" s="98" t="n"/>
      <c r="G402" s="62">
        <f>IFERROR(C402*F402,"")</f>
        <v/>
      </c>
    </row>
    <row r="403" ht="15" customHeight="1" s="52">
      <c r="A403" s="56" t="n"/>
      <c r="B403" s="74" t="n"/>
      <c r="C403" s="99" t="n"/>
      <c r="D403" s="58" t="n"/>
      <c r="E403" s="59">
        <f>IFERROR(D403/C403,"")</f>
        <v/>
      </c>
      <c r="F403" s="100" t="n"/>
      <c r="G403" s="57">
        <f>IFERROR(C403*F403,"")</f>
        <v/>
      </c>
    </row>
    <row r="404" ht="15" customHeight="1" s="52">
      <c r="A404" s="61" t="n"/>
      <c r="B404" s="75" t="n"/>
      <c r="C404" s="97" t="n"/>
      <c r="D404" s="63" t="n"/>
      <c r="E404" s="64">
        <f>IFERROR(D404/C404,"")</f>
        <v/>
      </c>
      <c r="F404" s="98" t="n"/>
      <c r="G404" s="62">
        <f>IFERROR(C404*F404,"")</f>
        <v/>
      </c>
    </row>
    <row r="405" ht="15" customHeight="1" s="52">
      <c r="A405" s="56" t="n"/>
      <c r="B405" s="74" t="n"/>
      <c r="C405" s="99" t="n"/>
      <c r="D405" s="58" t="n"/>
      <c r="E405" s="59">
        <f>IFERROR(D405/C405,"")</f>
        <v/>
      </c>
      <c r="F405" s="100" t="n"/>
      <c r="G405" s="57">
        <f>IFERROR(C405*F405,"")</f>
        <v/>
      </c>
    </row>
    <row r="406" ht="15" customHeight="1" s="52">
      <c r="A406" s="61" t="n"/>
      <c r="B406" s="75" t="n"/>
      <c r="C406" s="97" t="n"/>
      <c r="D406" s="63" t="n"/>
      <c r="E406" s="64">
        <f>IFERROR(D406/C406,"")</f>
        <v/>
      </c>
      <c r="F406" s="98" t="n"/>
      <c r="G406" s="62">
        <f>IFERROR(C406*F406,"")</f>
        <v/>
      </c>
    </row>
    <row r="407" ht="15" customHeight="1" s="52">
      <c r="A407" s="56" t="n"/>
      <c r="B407" s="74" t="n"/>
      <c r="C407" s="99" t="n"/>
      <c r="D407" s="58" t="n"/>
      <c r="E407" s="59">
        <f>IFERROR(D407/C407,"")</f>
        <v/>
      </c>
      <c r="F407" s="100" t="n"/>
      <c r="G407" s="57">
        <f>IFERROR(C407*F407,"")</f>
        <v/>
      </c>
    </row>
    <row r="408" ht="15" customHeight="1" s="52">
      <c r="A408" s="61" t="n"/>
      <c r="B408" s="75" t="n"/>
      <c r="C408" s="97" t="n"/>
      <c r="D408" s="63" t="n"/>
      <c r="E408" s="64">
        <f>IFERROR(D408/C408,"")</f>
        <v/>
      </c>
      <c r="F408" s="98" t="n"/>
      <c r="G408" s="62">
        <f>IFERROR(C408*F408,"")</f>
        <v/>
      </c>
    </row>
    <row r="409" ht="15" customHeight="1" s="52">
      <c r="A409" s="56" t="n"/>
      <c r="B409" s="74" t="n"/>
      <c r="C409" s="99" t="n"/>
      <c r="D409" s="58" t="n"/>
      <c r="E409" s="59">
        <f>IFERROR(D409/C409,"")</f>
        <v/>
      </c>
      <c r="F409" s="100" t="n"/>
      <c r="G409" s="57">
        <f>IFERROR(C409*F409,"")</f>
        <v/>
      </c>
    </row>
    <row r="410" ht="15" customHeight="1" s="52">
      <c r="A410" s="61" t="n"/>
      <c r="B410" s="75" t="n"/>
      <c r="C410" s="97" t="n"/>
      <c r="D410" s="63" t="n"/>
      <c r="E410" s="64">
        <f>IFERROR(D410/C410,"")</f>
        <v/>
      </c>
      <c r="F410" s="98" t="n"/>
      <c r="G410" s="62">
        <f>IFERROR(C410*F410,"")</f>
        <v/>
      </c>
    </row>
    <row r="411" ht="15" customHeight="1" s="52">
      <c r="A411" s="56" t="n"/>
      <c r="B411" s="74" t="n"/>
      <c r="C411" s="99" t="n"/>
      <c r="D411" s="58" t="n"/>
      <c r="E411" s="59">
        <f>IFERROR(D411/C411,"")</f>
        <v/>
      </c>
      <c r="F411" s="100" t="n"/>
      <c r="G411" s="57">
        <f>IFERROR(C411*F411,"")</f>
        <v/>
      </c>
    </row>
    <row r="412" ht="15" customHeight="1" s="52">
      <c r="A412" s="61" t="n"/>
      <c r="B412" s="75" t="n"/>
      <c r="C412" s="97" t="n"/>
      <c r="D412" s="63" t="n"/>
      <c r="E412" s="64">
        <f>IFERROR(D412/C412,"")</f>
        <v/>
      </c>
      <c r="F412" s="98" t="n"/>
      <c r="G412" s="62">
        <f>IFERROR(C412*F412,"")</f>
        <v/>
      </c>
    </row>
    <row r="413" ht="15" customHeight="1" s="52">
      <c r="A413" s="56" t="n"/>
      <c r="B413" s="74" t="n"/>
      <c r="C413" s="99" t="n"/>
      <c r="D413" s="58" t="n"/>
      <c r="E413" s="59">
        <f>IFERROR(D413/C413,"")</f>
        <v/>
      </c>
      <c r="F413" s="100" t="n"/>
      <c r="G413" s="57">
        <f>IFERROR(C413*F413,"")</f>
        <v/>
      </c>
    </row>
    <row r="414" ht="15" customHeight="1" s="52">
      <c r="A414" s="61" t="n"/>
      <c r="B414" s="75" t="n"/>
      <c r="C414" s="97" t="n"/>
      <c r="D414" s="63" t="n"/>
      <c r="E414" s="64">
        <f>IFERROR(D414/C414,"")</f>
        <v/>
      </c>
      <c r="F414" s="98" t="n"/>
      <c r="G414" s="62">
        <f>IFERROR(C414*F414,"")</f>
        <v/>
      </c>
    </row>
    <row r="415" ht="15" customHeight="1" s="52">
      <c r="A415" s="56" t="n"/>
      <c r="B415" s="74" t="n"/>
      <c r="C415" s="99" t="n"/>
      <c r="D415" s="58" t="n"/>
      <c r="E415" s="59">
        <f>IFERROR(D415/C415,"")</f>
        <v/>
      </c>
      <c r="F415" s="100" t="n"/>
      <c r="G415" s="57">
        <f>IFERROR(C415*F415,"")</f>
        <v/>
      </c>
    </row>
    <row r="416" ht="15" customHeight="1" s="52">
      <c r="A416" s="61" t="n"/>
      <c r="B416" s="75" t="n"/>
      <c r="C416" s="97" t="n"/>
      <c r="D416" s="63" t="n"/>
      <c r="E416" s="64">
        <f>IFERROR(D416/C416,"")</f>
        <v/>
      </c>
      <c r="F416" s="98" t="n"/>
      <c r="G416" s="62">
        <f>IFERROR(C416*F416,"")</f>
        <v/>
      </c>
    </row>
    <row r="417" ht="15" customHeight="1" s="52">
      <c r="A417" s="56" t="n"/>
      <c r="B417" s="74" t="n"/>
      <c r="C417" s="99" t="n"/>
      <c r="D417" s="58" t="n"/>
      <c r="E417" s="59">
        <f>IFERROR(D417/C417,"")</f>
        <v/>
      </c>
      <c r="F417" s="100" t="n"/>
      <c r="G417" s="57">
        <f>IFERROR(C417*F417,"")</f>
        <v/>
      </c>
    </row>
    <row r="418" ht="15" customHeight="1" s="52">
      <c r="A418" s="61" t="n"/>
      <c r="B418" s="75" t="n"/>
      <c r="C418" s="97" t="n"/>
      <c r="D418" s="63" t="n"/>
      <c r="E418" s="64">
        <f>IFERROR(D418/C418,"")</f>
        <v/>
      </c>
      <c r="F418" s="98" t="n"/>
      <c r="G418" s="62">
        <f>IFERROR(C418*F418,"")</f>
        <v/>
      </c>
    </row>
    <row r="419" ht="15" customHeight="1" s="52">
      <c r="A419" s="56" t="n"/>
      <c r="B419" s="74" t="n"/>
      <c r="C419" s="99" t="n"/>
      <c r="D419" s="58" t="n"/>
      <c r="E419" s="59">
        <f>IFERROR(D419/C419,"")</f>
        <v/>
      </c>
      <c r="F419" s="100" t="n"/>
      <c r="G419" s="57">
        <f>IFERROR(C419*F419,"")</f>
        <v/>
      </c>
    </row>
    <row r="420" ht="15" customHeight="1" s="52">
      <c r="A420" s="61" t="n"/>
      <c r="B420" s="75" t="n"/>
      <c r="C420" s="97" t="n"/>
      <c r="D420" s="63" t="n"/>
      <c r="E420" s="64">
        <f>IFERROR(D420/C420,"")</f>
        <v/>
      </c>
      <c r="F420" s="98" t="n"/>
      <c r="G420" s="62">
        <f>IFERROR(C420*F420,"")</f>
        <v/>
      </c>
    </row>
    <row r="421" ht="15" customHeight="1" s="52">
      <c r="A421" s="56" t="n"/>
      <c r="B421" s="74" t="n"/>
      <c r="C421" s="99" t="n"/>
      <c r="D421" s="58" t="n"/>
      <c r="E421" s="59">
        <f>IFERROR(D421/C421,"")</f>
        <v/>
      </c>
      <c r="F421" s="100" t="n"/>
      <c r="G421" s="57">
        <f>IFERROR(C421*F421,"")</f>
        <v/>
      </c>
    </row>
    <row r="422" ht="15" customHeight="1" s="52">
      <c r="A422" s="61" t="n"/>
      <c r="B422" s="75" t="n"/>
      <c r="C422" s="97" t="n"/>
      <c r="D422" s="63" t="n"/>
      <c r="E422" s="64">
        <f>IFERROR(D422/C422,"")</f>
        <v/>
      </c>
      <c r="F422" s="98" t="n"/>
      <c r="G422" s="62">
        <f>IFERROR(C422*F422,"")</f>
        <v/>
      </c>
    </row>
    <row r="423" ht="15" customHeight="1" s="52">
      <c r="A423" s="56" t="n"/>
      <c r="B423" s="74" t="n"/>
      <c r="C423" s="99" t="n"/>
      <c r="D423" s="58" t="n"/>
      <c r="E423" s="59">
        <f>IFERROR(D423/C423,"")</f>
        <v/>
      </c>
      <c r="F423" s="100" t="n"/>
      <c r="G423" s="57">
        <f>IFERROR(C423*F423,"")</f>
        <v/>
      </c>
    </row>
    <row r="424" ht="15" customHeight="1" s="52">
      <c r="A424" s="61" t="n"/>
      <c r="B424" s="75" t="n"/>
      <c r="C424" s="97" t="n"/>
      <c r="D424" s="63" t="n"/>
      <c r="E424" s="64">
        <f>IFERROR(D424/C424,"")</f>
        <v/>
      </c>
      <c r="F424" s="98" t="n"/>
      <c r="G424" s="62">
        <f>IFERROR(C424*F424,"")</f>
        <v/>
      </c>
    </row>
    <row r="425" ht="15" customHeight="1" s="52">
      <c r="A425" s="56" t="n"/>
      <c r="B425" s="74" t="n"/>
      <c r="C425" s="99" t="n"/>
      <c r="D425" s="58" t="n"/>
      <c r="E425" s="59">
        <f>IFERROR(D425/C425,"")</f>
        <v/>
      </c>
      <c r="F425" s="100" t="n"/>
      <c r="G425" s="57">
        <f>IFERROR(C425*F425,"")</f>
        <v/>
      </c>
    </row>
    <row r="426" ht="15" customHeight="1" s="52">
      <c r="A426" s="61" t="n"/>
      <c r="B426" s="75" t="n"/>
      <c r="C426" s="97" t="n"/>
      <c r="D426" s="63" t="n"/>
      <c r="E426" s="64">
        <f>IFERROR(D426/C426,"")</f>
        <v/>
      </c>
      <c r="F426" s="98" t="n"/>
      <c r="G426" s="62">
        <f>IFERROR(C426*F426,"")</f>
        <v/>
      </c>
    </row>
    <row r="427" ht="15" customHeight="1" s="52">
      <c r="A427" s="56" t="n"/>
      <c r="B427" s="74" t="n"/>
      <c r="C427" s="99" t="n"/>
      <c r="D427" s="58" t="n"/>
      <c r="E427" s="59">
        <f>IFERROR(D427/C427,"")</f>
        <v/>
      </c>
      <c r="F427" s="100" t="n"/>
      <c r="G427" s="57">
        <f>IFERROR(C427*F427,"")</f>
        <v/>
      </c>
    </row>
    <row r="428" ht="15" customHeight="1" s="52">
      <c r="A428" s="61" t="n"/>
      <c r="B428" s="75" t="n"/>
      <c r="C428" s="97" t="n"/>
      <c r="D428" s="63" t="n"/>
      <c r="E428" s="64">
        <f>IFERROR(D428/C428,"")</f>
        <v/>
      </c>
      <c r="F428" s="98" t="n"/>
      <c r="G428" s="62">
        <f>IFERROR(C428*F428,"")</f>
        <v/>
      </c>
    </row>
    <row r="429" ht="15" customHeight="1" s="52">
      <c r="A429" s="56" t="n"/>
      <c r="B429" s="74" t="n"/>
      <c r="C429" s="99" t="n"/>
      <c r="D429" s="58" t="n"/>
      <c r="E429" s="59">
        <f>IFERROR(D429/C429,"")</f>
        <v/>
      </c>
      <c r="F429" s="100" t="n"/>
      <c r="G429" s="57">
        <f>IFERROR(C429*F429,"")</f>
        <v/>
      </c>
    </row>
    <row r="430" ht="15" customHeight="1" s="52">
      <c r="A430" s="61" t="n"/>
      <c r="B430" s="75" t="n"/>
      <c r="C430" s="97" t="n"/>
      <c r="D430" s="63" t="n"/>
      <c r="E430" s="64">
        <f>IFERROR(D430/C430,"")</f>
        <v/>
      </c>
      <c r="F430" s="98" t="n"/>
      <c r="G430" s="62">
        <f>IFERROR(C430*F430,"")</f>
        <v/>
      </c>
    </row>
    <row r="431" ht="15" customHeight="1" s="52">
      <c r="A431" s="56" t="n"/>
      <c r="B431" s="74" t="n"/>
      <c r="C431" s="99" t="n"/>
      <c r="D431" s="58" t="n"/>
      <c r="E431" s="59">
        <f>IFERROR(D431/C431,"")</f>
        <v/>
      </c>
      <c r="F431" s="100" t="n"/>
      <c r="G431" s="57">
        <f>IFERROR(C431*F431,"")</f>
        <v/>
      </c>
    </row>
    <row r="432" ht="15" customHeight="1" s="52">
      <c r="A432" s="61" t="n"/>
      <c r="B432" s="75" t="n"/>
      <c r="C432" s="97" t="n"/>
      <c r="D432" s="63" t="n"/>
      <c r="E432" s="64">
        <f>IFERROR(D432/C432,"")</f>
        <v/>
      </c>
      <c r="F432" s="98" t="n"/>
      <c r="G432" s="62">
        <f>IFERROR(C432*F432,"")</f>
        <v/>
      </c>
    </row>
    <row r="433" ht="15" customHeight="1" s="52">
      <c r="A433" s="56" t="n"/>
      <c r="B433" s="74" t="n"/>
      <c r="C433" s="99" t="n"/>
      <c r="D433" s="58" t="n"/>
      <c r="E433" s="59">
        <f>IFERROR(D433/C433,"")</f>
        <v/>
      </c>
      <c r="F433" s="100" t="n"/>
      <c r="G433" s="57">
        <f>IFERROR(C433*F433,"")</f>
        <v/>
      </c>
    </row>
    <row r="434" ht="15" customHeight="1" s="52">
      <c r="A434" s="61" t="n"/>
      <c r="B434" s="75" t="n"/>
      <c r="C434" s="97" t="n"/>
      <c r="D434" s="63" t="n"/>
      <c r="E434" s="64">
        <f>IFERROR(D434/C434,"")</f>
        <v/>
      </c>
      <c r="F434" s="98" t="n"/>
      <c r="G434" s="62">
        <f>IFERROR(C434*F434,"")</f>
        <v/>
      </c>
    </row>
    <row r="435" ht="15" customHeight="1" s="52">
      <c r="A435" s="56" t="n"/>
      <c r="B435" s="74" t="n"/>
      <c r="C435" s="99" t="n"/>
      <c r="D435" s="58" t="n"/>
      <c r="E435" s="59">
        <f>IFERROR(D435/C435,"")</f>
        <v/>
      </c>
      <c r="F435" s="100" t="n"/>
      <c r="G435" s="57">
        <f>IFERROR(C435*F435,"")</f>
        <v/>
      </c>
    </row>
    <row r="436" ht="15" customHeight="1" s="52">
      <c r="A436" s="61" t="n"/>
      <c r="B436" s="75" t="n"/>
      <c r="C436" s="97" t="n"/>
      <c r="D436" s="63" t="n"/>
      <c r="E436" s="64">
        <f>IFERROR(D436/C436,"")</f>
        <v/>
      </c>
      <c r="F436" s="98" t="n"/>
      <c r="G436" s="62">
        <f>IFERROR(C436*F436,"")</f>
        <v/>
      </c>
    </row>
    <row r="437" ht="15" customHeight="1" s="52">
      <c r="A437" s="56" t="n"/>
      <c r="B437" s="74" t="n"/>
      <c r="C437" s="99" t="n"/>
      <c r="D437" s="58" t="n"/>
      <c r="E437" s="59">
        <f>IFERROR(D437/C437,"")</f>
        <v/>
      </c>
      <c r="F437" s="100" t="n"/>
      <c r="G437" s="57">
        <f>IFERROR(C437*F437,"")</f>
        <v/>
      </c>
    </row>
    <row r="438" ht="15" customHeight="1" s="52">
      <c r="A438" s="61" t="n"/>
      <c r="B438" s="75" t="n"/>
      <c r="C438" s="97" t="n"/>
      <c r="D438" s="63" t="n"/>
      <c r="E438" s="64">
        <f>IFERROR(D438/C438,"")</f>
        <v/>
      </c>
      <c r="F438" s="98" t="n"/>
      <c r="G438" s="62">
        <f>IFERROR(C438*F438,"")</f>
        <v/>
      </c>
    </row>
    <row r="439" ht="15" customHeight="1" s="52">
      <c r="A439" s="56" t="n"/>
      <c r="B439" s="74" t="n"/>
      <c r="C439" s="99" t="n"/>
      <c r="D439" s="58" t="n"/>
      <c r="E439" s="59">
        <f>IFERROR(D439/C439,"")</f>
        <v/>
      </c>
      <c r="F439" s="100" t="n"/>
      <c r="G439" s="57">
        <f>IFERROR(C439*F439,"")</f>
        <v/>
      </c>
    </row>
    <row r="440" ht="15" customHeight="1" s="52">
      <c r="A440" s="61" t="n"/>
      <c r="B440" s="75" t="n"/>
      <c r="C440" s="97" t="n"/>
      <c r="D440" s="63" t="n"/>
      <c r="E440" s="64">
        <f>IFERROR(D440/C440,"")</f>
        <v/>
      </c>
      <c r="F440" s="98" t="n"/>
      <c r="G440" s="62">
        <f>IFERROR(C440*F440,"")</f>
        <v/>
      </c>
    </row>
    <row r="441" ht="15" customHeight="1" s="52">
      <c r="A441" s="56" t="n"/>
      <c r="B441" s="74" t="n"/>
      <c r="C441" s="99" t="n"/>
      <c r="D441" s="58" t="n"/>
      <c r="E441" s="59">
        <f>IFERROR(D441/C441,"")</f>
        <v/>
      </c>
      <c r="F441" s="100" t="n"/>
      <c r="G441" s="57">
        <f>IFERROR(C441*F441,"")</f>
        <v/>
      </c>
    </row>
    <row r="442" ht="15" customHeight="1" s="52">
      <c r="A442" s="61" t="n"/>
      <c r="B442" s="75" t="n"/>
      <c r="C442" s="97" t="n"/>
      <c r="D442" s="63" t="n"/>
      <c r="E442" s="64">
        <f>IFERROR(D442/C442,"")</f>
        <v/>
      </c>
      <c r="F442" s="98" t="n"/>
      <c r="G442" s="62">
        <f>IFERROR(C442*F442,"")</f>
        <v/>
      </c>
    </row>
    <row r="443" ht="15" customHeight="1" s="52">
      <c r="A443" s="56" t="n"/>
      <c r="B443" s="74" t="n"/>
      <c r="C443" s="99" t="n"/>
      <c r="D443" s="58" t="n"/>
      <c r="E443" s="59">
        <f>IFERROR(D443/C443,"")</f>
        <v/>
      </c>
      <c r="F443" s="100" t="n"/>
      <c r="G443" s="57">
        <f>IFERROR(C443*F443,"")</f>
        <v/>
      </c>
    </row>
    <row r="444" ht="15" customHeight="1" s="52">
      <c r="A444" s="61" t="n"/>
      <c r="B444" s="75" t="n"/>
      <c r="C444" s="97" t="n"/>
      <c r="D444" s="63" t="n"/>
      <c r="E444" s="64">
        <f>IFERROR(D444/C444,"")</f>
        <v/>
      </c>
      <c r="F444" s="98" t="n"/>
      <c r="G444" s="62">
        <f>IFERROR(C444*F444,"")</f>
        <v/>
      </c>
    </row>
    <row r="445" ht="15" customHeight="1" s="52">
      <c r="A445" s="56" t="n"/>
      <c r="B445" s="74" t="n"/>
      <c r="C445" s="99" t="n"/>
      <c r="D445" s="58" t="n"/>
      <c r="E445" s="59">
        <f>IFERROR(D445/C445,"")</f>
        <v/>
      </c>
      <c r="F445" s="100" t="n"/>
      <c r="G445" s="57">
        <f>IFERROR(C445*F445,"")</f>
        <v/>
      </c>
    </row>
    <row r="446" ht="15" customHeight="1" s="52">
      <c r="A446" s="61" t="n"/>
      <c r="B446" s="75" t="n"/>
      <c r="C446" s="97" t="n"/>
      <c r="D446" s="63" t="n"/>
      <c r="E446" s="64">
        <f>IFERROR(D446/C446,"")</f>
        <v/>
      </c>
      <c r="F446" s="98" t="n"/>
      <c r="G446" s="62">
        <f>IFERROR(C446*F446,"")</f>
        <v/>
      </c>
    </row>
    <row r="447" ht="15" customHeight="1" s="52">
      <c r="A447" s="56" t="n"/>
      <c r="B447" s="74" t="n"/>
      <c r="C447" s="99" t="n"/>
      <c r="D447" s="58" t="n"/>
      <c r="E447" s="59">
        <f>IFERROR(D447/C447,"")</f>
        <v/>
      </c>
      <c r="F447" s="100" t="n"/>
      <c r="G447" s="57">
        <f>IFERROR(C447*F447,"")</f>
        <v/>
      </c>
    </row>
    <row r="448" ht="15" customHeight="1" s="52">
      <c r="A448" s="61" t="n"/>
      <c r="B448" s="75" t="n"/>
      <c r="C448" s="97" t="n"/>
      <c r="D448" s="63" t="n"/>
      <c r="E448" s="64">
        <f>IFERROR(D448/C448,"")</f>
        <v/>
      </c>
      <c r="F448" s="98" t="n"/>
      <c r="G448" s="62">
        <f>IFERROR(C448*F448,"")</f>
        <v/>
      </c>
    </row>
    <row r="449" ht="15" customHeight="1" s="52">
      <c r="A449" s="56" t="n"/>
      <c r="B449" s="74" t="n"/>
      <c r="C449" s="99" t="n"/>
      <c r="D449" s="58" t="n"/>
      <c r="E449" s="59">
        <f>IFERROR(D449/C449,"")</f>
        <v/>
      </c>
      <c r="F449" s="100" t="n"/>
      <c r="G449" s="57">
        <f>IFERROR(C449*F449,"")</f>
        <v/>
      </c>
    </row>
    <row r="450" ht="15" customHeight="1" s="52">
      <c r="A450" s="61" t="n"/>
      <c r="B450" s="75" t="n"/>
      <c r="C450" s="97" t="n"/>
      <c r="D450" s="63" t="n"/>
      <c r="E450" s="64">
        <f>IFERROR(D450/C450,"")</f>
        <v/>
      </c>
      <c r="F450" s="98" t="n"/>
      <c r="G450" s="62">
        <f>IFERROR(C450*F450,"")</f>
        <v/>
      </c>
    </row>
    <row r="451" ht="15" customHeight="1" s="52">
      <c r="A451" s="56" t="n"/>
      <c r="B451" s="74" t="n"/>
      <c r="C451" s="99" t="n"/>
      <c r="D451" s="58" t="n"/>
      <c r="E451" s="59">
        <f>IFERROR(D451/C451,"")</f>
        <v/>
      </c>
      <c r="F451" s="100" t="n"/>
      <c r="G451" s="57">
        <f>IFERROR(C451*F451,"")</f>
        <v/>
      </c>
    </row>
    <row r="452" ht="15" customHeight="1" s="52">
      <c r="A452" s="61" t="n"/>
      <c r="B452" s="75" t="n"/>
      <c r="C452" s="97" t="n"/>
      <c r="D452" s="63" t="n"/>
      <c r="E452" s="64">
        <f>IFERROR(D452/C452,"")</f>
        <v/>
      </c>
      <c r="F452" s="98" t="n"/>
      <c r="G452" s="62">
        <f>IFERROR(C452*F452,"")</f>
        <v/>
      </c>
    </row>
    <row r="453" ht="15" customHeight="1" s="52">
      <c r="A453" s="56" t="n"/>
      <c r="B453" s="74" t="n"/>
      <c r="C453" s="99" t="n"/>
      <c r="D453" s="58" t="n"/>
      <c r="E453" s="59">
        <f>IFERROR(D453/C453,"")</f>
        <v/>
      </c>
      <c r="F453" s="100" t="n"/>
      <c r="G453" s="57">
        <f>IFERROR(C453*F453,"")</f>
        <v/>
      </c>
    </row>
    <row r="454" ht="15" customHeight="1" s="52">
      <c r="A454" s="61" t="n"/>
      <c r="B454" s="75" t="n"/>
      <c r="C454" s="97" t="n"/>
      <c r="D454" s="63" t="n"/>
      <c r="E454" s="64">
        <f>IFERROR(D454/C454,"")</f>
        <v/>
      </c>
      <c r="F454" s="98" t="n"/>
      <c r="G454" s="62">
        <f>IFERROR(C454*F454,"")</f>
        <v/>
      </c>
    </row>
    <row r="455" ht="15" customHeight="1" s="52">
      <c r="A455" s="56" t="n"/>
      <c r="B455" s="74" t="n"/>
      <c r="C455" s="99" t="n"/>
      <c r="D455" s="58" t="n"/>
      <c r="E455" s="59">
        <f>IFERROR(D455/C455,"")</f>
        <v/>
      </c>
      <c r="F455" s="100" t="n"/>
      <c r="G455" s="57">
        <f>IFERROR(C455*F455,"")</f>
        <v/>
      </c>
    </row>
    <row r="456" ht="15" customHeight="1" s="52">
      <c r="A456" s="61" t="n"/>
      <c r="B456" s="75" t="n"/>
      <c r="C456" s="97" t="n"/>
      <c r="D456" s="63" t="n"/>
      <c r="E456" s="64">
        <f>IFERROR(D456/C456,"")</f>
        <v/>
      </c>
      <c r="F456" s="98" t="n"/>
      <c r="G456" s="62">
        <f>IFERROR(C456*F456,"")</f>
        <v/>
      </c>
    </row>
    <row r="457" ht="15" customHeight="1" s="52">
      <c r="A457" s="56" t="n"/>
      <c r="B457" s="74" t="n"/>
      <c r="C457" s="99" t="n"/>
      <c r="D457" s="58" t="n"/>
      <c r="E457" s="59">
        <f>IFERROR(D457/C457,"")</f>
        <v/>
      </c>
      <c r="F457" s="100" t="n"/>
      <c r="G457" s="57">
        <f>IFERROR(C457*F457,"")</f>
        <v/>
      </c>
    </row>
    <row r="458" ht="15" customHeight="1" s="52">
      <c r="A458" s="61" t="n"/>
      <c r="B458" s="75" t="n"/>
      <c r="C458" s="97" t="n"/>
      <c r="D458" s="63" t="n"/>
      <c r="E458" s="64">
        <f>IFERROR(D458/C458,"")</f>
        <v/>
      </c>
      <c r="F458" s="98" t="n"/>
      <c r="G458" s="62">
        <f>IFERROR(C458*F458,"")</f>
        <v/>
      </c>
    </row>
    <row r="459" ht="15" customHeight="1" s="52">
      <c r="A459" s="56" t="n"/>
      <c r="B459" s="74" t="n"/>
      <c r="C459" s="99" t="n"/>
      <c r="D459" s="58" t="n"/>
      <c r="E459" s="59">
        <f>IFERROR(D459/C459,"")</f>
        <v/>
      </c>
      <c r="F459" s="100" t="n"/>
      <c r="G459" s="57">
        <f>IFERROR(C459*F459,"")</f>
        <v/>
      </c>
    </row>
    <row r="460" ht="15" customHeight="1" s="52">
      <c r="A460" s="61" t="n"/>
      <c r="B460" s="75" t="n"/>
      <c r="C460" s="97" t="n"/>
      <c r="D460" s="63" t="n"/>
      <c r="E460" s="64">
        <f>IFERROR(D460/C460,"")</f>
        <v/>
      </c>
      <c r="F460" s="98" t="n"/>
      <c r="G460" s="62">
        <f>IFERROR(C460*F460,"")</f>
        <v/>
      </c>
    </row>
    <row r="461" ht="15" customHeight="1" s="52">
      <c r="A461" s="56" t="n"/>
      <c r="B461" s="74" t="n"/>
      <c r="C461" s="99" t="n"/>
      <c r="D461" s="58" t="n"/>
      <c r="E461" s="59">
        <f>IFERROR(D461/C461,"")</f>
        <v/>
      </c>
      <c r="F461" s="100" t="n"/>
      <c r="G461" s="57">
        <f>IFERROR(C461*F461,"")</f>
        <v/>
      </c>
    </row>
    <row r="462" ht="15" customHeight="1" s="52">
      <c r="A462" s="61" t="n"/>
      <c r="B462" s="75" t="n"/>
      <c r="C462" s="97" t="n"/>
      <c r="D462" s="63" t="n"/>
      <c r="E462" s="64">
        <f>IFERROR(D462/C462,"")</f>
        <v/>
      </c>
      <c r="F462" s="98" t="n"/>
      <c r="G462" s="62">
        <f>IFERROR(C462*F462,"")</f>
        <v/>
      </c>
    </row>
    <row r="463" ht="15" customHeight="1" s="52">
      <c r="A463" s="56" t="n"/>
      <c r="B463" s="74" t="n"/>
      <c r="C463" s="99" t="n"/>
      <c r="D463" s="58" t="n"/>
      <c r="E463" s="59">
        <f>IFERROR(D463/C463,"")</f>
        <v/>
      </c>
      <c r="F463" s="100" t="n"/>
      <c r="G463" s="57">
        <f>IFERROR(C463*F463,"")</f>
        <v/>
      </c>
    </row>
    <row r="464" ht="15" customHeight="1" s="52">
      <c r="A464" s="61" t="n"/>
      <c r="B464" s="75" t="n"/>
      <c r="C464" s="97" t="n"/>
      <c r="D464" s="63" t="n"/>
      <c r="E464" s="64">
        <f>IFERROR(D464/C464,"")</f>
        <v/>
      </c>
      <c r="F464" s="98" t="n"/>
      <c r="G464" s="62">
        <f>IFERROR(C464*F464,"")</f>
        <v/>
      </c>
    </row>
    <row r="465" ht="15" customHeight="1" s="52">
      <c r="A465" s="56" t="n"/>
      <c r="B465" s="74" t="n"/>
      <c r="C465" s="99" t="n"/>
      <c r="D465" s="58" t="n"/>
      <c r="E465" s="59">
        <f>IFERROR(D465/C465,"")</f>
        <v/>
      </c>
      <c r="F465" s="100" t="n"/>
      <c r="G465" s="57">
        <f>IFERROR(C465*F465,"")</f>
        <v/>
      </c>
    </row>
    <row r="466" ht="15" customHeight="1" s="52">
      <c r="A466" s="61" t="n"/>
      <c r="B466" s="75" t="n"/>
      <c r="C466" s="97" t="n"/>
      <c r="D466" s="63" t="n"/>
      <c r="E466" s="64">
        <f>IFERROR(D466/C466,"")</f>
        <v/>
      </c>
      <c r="F466" s="98" t="n"/>
      <c r="G466" s="62">
        <f>IFERROR(C466*F466,"")</f>
        <v/>
      </c>
    </row>
    <row r="467" ht="15" customHeight="1" s="52">
      <c r="A467" s="56" t="n"/>
      <c r="B467" s="74" t="n"/>
      <c r="C467" s="99" t="n"/>
      <c r="D467" s="58" t="n"/>
      <c r="E467" s="59">
        <f>IFERROR(D467/C467,"")</f>
        <v/>
      </c>
      <c r="F467" s="100" t="n"/>
      <c r="G467" s="57">
        <f>IFERROR(C467*F467,"")</f>
        <v/>
      </c>
    </row>
    <row r="468" ht="15" customHeight="1" s="52">
      <c r="A468" s="61" t="n"/>
      <c r="B468" s="75" t="n"/>
      <c r="C468" s="97" t="n"/>
      <c r="D468" s="63" t="n"/>
      <c r="E468" s="64">
        <f>IFERROR(D468/C468,"")</f>
        <v/>
      </c>
      <c r="F468" s="98" t="n"/>
      <c r="G468" s="62">
        <f>IFERROR(C468*F468,"")</f>
        <v/>
      </c>
    </row>
    <row r="469" ht="15" customHeight="1" s="52">
      <c r="A469" s="56" t="n"/>
      <c r="B469" s="74" t="n"/>
      <c r="C469" s="99" t="n"/>
      <c r="D469" s="58" t="n"/>
      <c r="E469" s="59">
        <f>IFERROR(D469/C469,"")</f>
        <v/>
      </c>
      <c r="F469" s="100" t="n"/>
      <c r="G469" s="57">
        <f>IFERROR(C469*F469,"")</f>
        <v/>
      </c>
    </row>
    <row r="470" ht="15" customHeight="1" s="52">
      <c r="A470" s="61" t="n"/>
      <c r="B470" s="75" t="n"/>
      <c r="C470" s="97" t="n"/>
      <c r="D470" s="63" t="n"/>
      <c r="E470" s="64">
        <f>IFERROR(D470/C470,"")</f>
        <v/>
      </c>
      <c r="F470" s="98" t="n"/>
      <c r="G470" s="62">
        <f>IFERROR(C470*F470,"")</f>
        <v/>
      </c>
    </row>
    <row r="471" ht="15" customHeight="1" s="52">
      <c r="A471" s="56" t="n"/>
      <c r="B471" s="74" t="n"/>
      <c r="C471" s="99" t="n"/>
      <c r="D471" s="58" t="n"/>
      <c r="E471" s="59">
        <f>IFERROR(D471/C471,"")</f>
        <v/>
      </c>
      <c r="F471" s="100" t="n"/>
      <c r="G471" s="57">
        <f>IFERROR(C471*F471,"")</f>
        <v/>
      </c>
    </row>
    <row r="472" ht="15" customHeight="1" s="52">
      <c r="A472" s="61" t="n"/>
      <c r="B472" s="75" t="n"/>
      <c r="C472" s="97" t="n"/>
      <c r="D472" s="63" t="n"/>
      <c r="E472" s="64">
        <f>IFERROR(D472/C472,"")</f>
        <v/>
      </c>
      <c r="F472" s="98" t="n"/>
      <c r="G472" s="62">
        <f>IFERROR(C472*F472,"")</f>
        <v/>
      </c>
    </row>
    <row r="473" ht="15" customHeight="1" s="52">
      <c r="A473" s="56" t="n"/>
      <c r="B473" s="74" t="n"/>
      <c r="C473" s="99" t="n"/>
      <c r="D473" s="58" t="n"/>
      <c r="E473" s="59">
        <f>IFERROR(D473/C473,"")</f>
        <v/>
      </c>
      <c r="F473" s="100" t="n"/>
      <c r="G473" s="57">
        <f>IFERROR(C473*F473,"")</f>
        <v/>
      </c>
    </row>
    <row r="474" ht="15" customHeight="1" s="52">
      <c r="A474" s="61" t="n"/>
      <c r="B474" s="75" t="n"/>
      <c r="C474" s="97" t="n"/>
      <c r="D474" s="63" t="n"/>
      <c r="E474" s="64">
        <f>IFERROR(D474/C474,"")</f>
        <v/>
      </c>
      <c r="F474" s="98" t="n"/>
      <c r="G474" s="62">
        <f>IFERROR(C474*F474,"")</f>
        <v/>
      </c>
    </row>
    <row r="475" ht="15" customHeight="1" s="52">
      <c r="A475" s="56" t="n"/>
      <c r="B475" s="74" t="n"/>
      <c r="C475" s="99" t="n"/>
      <c r="D475" s="58" t="n"/>
      <c r="E475" s="59">
        <f>IFERROR(D475/C475,"")</f>
        <v/>
      </c>
      <c r="F475" s="100" t="n"/>
      <c r="G475" s="57">
        <f>IFERROR(C475*F475,"")</f>
        <v/>
      </c>
    </row>
    <row r="476" ht="15" customHeight="1" s="52">
      <c r="A476" s="61" t="n"/>
      <c r="B476" s="75" t="n"/>
      <c r="C476" s="97" t="n"/>
      <c r="D476" s="63" t="n"/>
      <c r="E476" s="64">
        <f>IFERROR(D476/C476,"")</f>
        <v/>
      </c>
      <c r="F476" s="98" t="n"/>
      <c r="G476" s="62">
        <f>IFERROR(C476*F476,"")</f>
        <v/>
      </c>
    </row>
    <row r="477" ht="15" customHeight="1" s="52">
      <c r="A477" s="56" t="n"/>
      <c r="B477" s="74" t="n"/>
      <c r="C477" s="99" t="n"/>
      <c r="D477" s="58" t="n"/>
      <c r="E477" s="59">
        <f>IFERROR(D477/C477,"")</f>
        <v/>
      </c>
      <c r="F477" s="100" t="n"/>
      <c r="G477" s="57">
        <f>IFERROR(C477*F477,"")</f>
        <v/>
      </c>
    </row>
    <row r="478" ht="15" customHeight="1" s="52">
      <c r="A478" s="61" t="n"/>
      <c r="B478" s="75" t="n"/>
      <c r="C478" s="97" t="n"/>
      <c r="D478" s="63" t="n"/>
      <c r="E478" s="64">
        <f>IFERROR(D478/C478,"")</f>
        <v/>
      </c>
      <c r="F478" s="98" t="n"/>
      <c r="G478" s="62">
        <f>IFERROR(C478*F478,"")</f>
        <v/>
      </c>
    </row>
    <row r="479" ht="15" customHeight="1" s="52">
      <c r="A479" s="56" t="n"/>
      <c r="B479" s="74" t="n"/>
      <c r="C479" s="99" t="n"/>
      <c r="D479" s="58" t="n"/>
      <c r="E479" s="59">
        <f>IFERROR(D479/C479,"")</f>
        <v/>
      </c>
      <c r="F479" s="100" t="n"/>
      <c r="G479" s="57">
        <f>IFERROR(C479*F479,"")</f>
        <v/>
      </c>
    </row>
    <row r="480" ht="15" customHeight="1" s="52">
      <c r="A480" s="61" t="n"/>
      <c r="B480" s="75" t="n"/>
      <c r="C480" s="97" t="n"/>
      <c r="D480" s="63" t="n"/>
      <c r="E480" s="64">
        <f>IFERROR(D480/C480,"")</f>
        <v/>
      </c>
      <c r="F480" s="98" t="n"/>
      <c r="G480" s="62">
        <f>IFERROR(C480*F480,"")</f>
        <v/>
      </c>
    </row>
    <row r="481" ht="15" customHeight="1" s="52">
      <c r="A481" s="56" t="n"/>
      <c r="B481" s="74" t="n"/>
      <c r="C481" s="99" t="n"/>
      <c r="D481" s="58" t="n"/>
      <c r="E481" s="59">
        <f>IFERROR(D481/C481,"")</f>
        <v/>
      </c>
      <c r="F481" s="100" t="n"/>
      <c r="G481" s="57">
        <f>IFERROR(C481*F481,"")</f>
        <v/>
      </c>
    </row>
    <row r="482" ht="15" customHeight="1" s="52">
      <c r="A482" s="61" t="n"/>
      <c r="B482" s="75" t="n"/>
      <c r="C482" s="97" t="n"/>
      <c r="D482" s="63" t="n"/>
      <c r="E482" s="64">
        <f>IFERROR(D482/C482,"")</f>
        <v/>
      </c>
      <c r="F482" s="98" t="n"/>
      <c r="G482" s="62">
        <f>IFERROR(C482*F482,"")</f>
        <v/>
      </c>
    </row>
    <row r="483" ht="15" customHeight="1" s="52">
      <c r="A483" s="56" t="n"/>
      <c r="B483" s="74" t="n"/>
      <c r="C483" s="99" t="n"/>
      <c r="D483" s="58" t="n"/>
      <c r="E483" s="59">
        <f>IFERROR(D483/C483,"")</f>
        <v/>
      </c>
      <c r="F483" s="100" t="n"/>
      <c r="G483" s="57">
        <f>IFERROR(C483*F483,"")</f>
        <v/>
      </c>
    </row>
    <row r="484" ht="15" customHeight="1" s="52">
      <c r="A484" s="61" t="n"/>
      <c r="B484" s="75" t="n"/>
      <c r="C484" s="97" t="n"/>
      <c r="D484" s="63" t="n"/>
      <c r="E484" s="64">
        <f>IFERROR(D484/C484,"")</f>
        <v/>
      </c>
      <c r="F484" s="98" t="n"/>
      <c r="G484" s="62">
        <f>IFERROR(C484*F484,"")</f>
        <v/>
      </c>
    </row>
    <row r="485" ht="15" customHeight="1" s="52">
      <c r="A485" s="56" t="n"/>
      <c r="B485" s="74" t="n"/>
      <c r="C485" s="99" t="n"/>
      <c r="D485" s="58" t="n"/>
      <c r="E485" s="59">
        <f>IFERROR(D485/C485,"")</f>
        <v/>
      </c>
      <c r="F485" s="100" t="n"/>
      <c r="G485" s="57">
        <f>IFERROR(C485*F485,"")</f>
        <v/>
      </c>
    </row>
    <row r="486" ht="15" customHeight="1" s="52">
      <c r="A486" s="61" t="n"/>
      <c r="B486" s="75" t="n"/>
      <c r="C486" s="97" t="n"/>
      <c r="D486" s="63" t="n"/>
      <c r="E486" s="64">
        <f>IFERROR(D486/C486,"")</f>
        <v/>
      </c>
      <c r="F486" s="98" t="n"/>
      <c r="G486" s="62">
        <f>IFERROR(C486*F486,"")</f>
        <v/>
      </c>
    </row>
    <row r="487" ht="15" customHeight="1" s="52">
      <c r="A487" s="56" t="n"/>
      <c r="B487" s="74" t="n"/>
      <c r="C487" s="99" t="n"/>
      <c r="D487" s="58" t="n"/>
      <c r="E487" s="59">
        <f>IFERROR(D487/C487,"")</f>
        <v/>
      </c>
      <c r="F487" s="100" t="n"/>
      <c r="G487" s="57">
        <f>IFERROR(C487*F487,"")</f>
        <v/>
      </c>
    </row>
    <row r="488" ht="15" customHeight="1" s="52">
      <c r="A488" s="61" t="n"/>
      <c r="B488" s="75" t="n"/>
      <c r="C488" s="97" t="n"/>
      <c r="D488" s="63" t="n"/>
      <c r="E488" s="64">
        <f>IFERROR(D488/C488,"")</f>
        <v/>
      </c>
      <c r="F488" s="98" t="n"/>
      <c r="G488" s="62">
        <f>IFERROR(C488*F488,"")</f>
        <v/>
      </c>
    </row>
    <row r="489" ht="15" customHeight="1" s="52">
      <c r="A489" s="56" t="n"/>
      <c r="B489" s="74" t="n"/>
      <c r="C489" s="99" t="n"/>
      <c r="D489" s="58" t="n"/>
      <c r="E489" s="59">
        <f>IFERROR(D489/C489,"")</f>
        <v/>
      </c>
      <c r="F489" s="100" t="n"/>
      <c r="G489" s="57">
        <f>IFERROR(C489*F489,"")</f>
        <v/>
      </c>
    </row>
    <row r="490" ht="15" customHeight="1" s="52">
      <c r="A490" s="61" t="n"/>
      <c r="B490" s="75" t="n"/>
      <c r="C490" s="97" t="n"/>
      <c r="D490" s="63" t="n"/>
      <c r="E490" s="64">
        <f>IFERROR(D490/C490,"")</f>
        <v/>
      </c>
      <c r="F490" s="98" t="n"/>
      <c r="G490" s="62">
        <f>IFERROR(C490*F490,"")</f>
        <v/>
      </c>
    </row>
    <row r="491" ht="15" customHeight="1" s="52">
      <c r="A491" s="56" t="n"/>
      <c r="B491" s="74" t="n"/>
      <c r="C491" s="99" t="n"/>
      <c r="D491" s="58" t="n"/>
      <c r="E491" s="59">
        <f>IFERROR(D491/C491,"")</f>
        <v/>
      </c>
      <c r="F491" s="100" t="n"/>
      <c r="G491" s="57">
        <f>IFERROR(C491*F491,"")</f>
        <v/>
      </c>
    </row>
    <row r="492" ht="15" customHeight="1" s="52">
      <c r="A492" s="61" t="n"/>
      <c r="B492" s="75" t="n"/>
      <c r="C492" s="97" t="n"/>
      <c r="D492" s="63" t="n"/>
      <c r="E492" s="64">
        <f>IFERROR(D492/C492,"")</f>
        <v/>
      </c>
      <c r="F492" s="98" t="n"/>
      <c r="G492" s="62">
        <f>IFERROR(C492*F492,"")</f>
        <v/>
      </c>
    </row>
    <row r="493" ht="15" customHeight="1" s="52">
      <c r="A493" s="56" t="n"/>
      <c r="B493" s="74" t="n"/>
      <c r="C493" s="99" t="n"/>
      <c r="D493" s="58" t="n"/>
      <c r="E493" s="59">
        <f>IFERROR(D493/C493,"")</f>
        <v/>
      </c>
      <c r="F493" s="100" t="n"/>
      <c r="G493" s="57">
        <f>IFERROR(C493*F493,"")</f>
        <v/>
      </c>
    </row>
    <row r="494" ht="15" customHeight="1" s="52">
      <c r="A494" s="61" t="n"/>
      <c r="B494" s="75" t="n"/>
      <c r="C494" s="97" t="n"/>
      <c r="D494" s="63" t="n"/>
      <c r="E494" s="64">
        <f>IFERROR(D494/C494,"")</f>
        <v/>
      </c>
      <c r="F494" s="98" t="n"/>
      <c r="G494" s="62">
        <f>IFERROR(C494*F494,"")</f>
        <v/>
      </c>
    </row>
    <row r="495" ht="15" customHeight="1" s="52">
      <c r="A495" s="56" t="n"/>
      <c r="B495" s="74" t="n"/>
      <c r="C495" s="99" t="n"/>
      <c r="D495" s="58" t="n"/>
      <c r="E495" s="59">
        <f>IFERROR(D495/C495,"")</f>
        <v/>
      </c>
      <c r="F495" s="100" t="n"/>
      <c r="G495" s="57">
        <f>IFERROR(C495*F495,"")</f>
        <v/>
      </c>
    </row>
    <row r="496" ht="15" customHeight="1" s="52">
      <c r="A496" s="61" t="n"/>
      <c r="B496" s="75" t="n"/>
      <c r="C496" s="97" t="n"/>
      <c r="D496" s="63" t="n"/>
      <c r="E496" s="64">
        <f>IFERROR(D496/C496,"")</f>
        <v/>
      </c>
      <c r="F496" s="98" t="n"/>
      <c r="G496" s="62">
        <f>IFERROR(C496*F496,"")</f>
        <v/>
      </c>
    </row>
    <row r="497" ht="15" customHeight="1" s="52">
      <c r="A497" s="56" t="n"/>
      <c r="B497" s="74" t="n"/>
      <c r="C497" s="99" t="n"/>
      <c r="D497" s="58" t="n"/>
      <c r="E497" s="59">
        <f>IFERROR(D497/C497,"")</f>
        <v/>
      </c>
      <c r="F497" s="100" t="n"/>
      <c r="G497" s="57">
        <f>IFERROR(C497*F497,"")</f>
        <v/>
      </c>
    </row>
    <row r="498" ht="15" customHeight="1" s="52">
      <c r="A498" s="61" t="n"/>
      <c r="B498" s="75" t="n"/>
      <c r="C498" s="97" t="n"/>
      <c r="D498" s="63" t="n"/>
      <c r="E498" s="64">
        <f>IFERROR(D498/C498,"")</f>
        <v/>
      </c>
      <c r="F498" s="98" t="n"/>
      <c r="G498" s="62">
        <f>IFERROR(C498*F498,"")</f>
        <v/>
      </c>
    </row>
    <row r="499" ht="15" customHeight="1" s="52">
      <c r="A499" s="56" t="n"/>
      <c r="B499" s="74" t="n"/>
      <c r="C499" s="99" t="n"/>
      <c r="D499" s="58" t="n"/>
      <c r="E499" s="59">
        <f>IFERROR(D499/C499,"")</f>
        <v/>
      </c>
      <c r="F499" s="100" t="n"/>
      <c r="G499" s="57">
        <f>IFERROR(C499*F499,"")</f>
        <v/>
      </c>
    </row>
    <row r="500" ht="15" customHeight="1" s="52">
      <c r="A500" s="61" t="n"/>
      <c r="B500" s="75" t="n"/>
      <c r="C500" s="97" t="n"/>
      <c r="D500" s="63" t="n"/>
      <c r="E500" s="64">
        <f>IFERROR(D500/C500,"")</f>
        <v/>
      </c>
      <c r="F500" s="98" t="n"/>
      <c r="G500" s="62">
        <f>IFERROR(C500*F500,"")</f>
        <v/>
      </c>
    </row>
  </sheetData>
  <autoFilter ref="A3:G500"/>
  <mergeCells count="2">
    <mergeCell ref="A2:G2"/>
    <mergeCell ref="A1:G1"/>
  </mergeCells>
  <conditionalFormatting sqref="E4:E500">
    <cfRule type="cellIs" rank="0" priority="2" equalAverage="0" operator="greaterThan" aboveAverage="0" dxfId="9" text="" percent="0" bottom="0">
      <formula>35</formula>
    </cfRule>
    <cfRule type="cellIs" rank="0" priority="3" equalAverage="0" operator="lessThan" aboveAverage="0" dxfId="5" text="" percent="0" bottom="0">
      <formula>20</formula>
    </cfRule>
  </conditionalFormatting>
  <dataValidations count="1">
    <dataValidation sqref="A4:A500" showDropDown="0" showInputMessage="0" showErrorMessage="0" allowBlank="1" type="list" errorStyle="stop" operator="between">
      <formula1>"COLDRV1 22 TOY COR,COLDRV2 17 NISSAN ALTIMA,COLDRV3 17 TOY PRIUS,COLDRV4 2015 HONDA ACCORD,COLDRV5 18 HONDA ACCORD,COLDRV8 21 TOY COR"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tabColor rgb="FFFF6B6B"/>
    <outlinePr summaryBelow="1" summaryRight="1"/>
    <pageSetUpPr fitToPage="0"/>
  </sheetPr>
  <dimension ref="A1:J300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28" customWidth="1" style="51" min="1" max="1"/>
    <col width="14" customWidth="1" style="51" min="2" max="3"/>
    <col width="20" customWidth="1" style="51" min="4" max="4"/>
    <col width="16" customWidth="1" style="51" min="5" max="5"/>
    <col width="38" customWidth="1" style="51" min="6" max="6"/>
    <col width="14" customWidth="1" style="51" min="7" max="7"/>
    <col width="20" customWidth="1" style="51" min="8" max="8"/>
    <col width="12" customWidth="1" style="51" min="9" max="9"/>
    <col width="16" customWidth="1" style="51" min="10" max="10"/>
  </cols>
  <sheetData>
    <row r="1" ht="42" customHeight="1" s="52">
      <c r="A1" s="53" t="inlineStr">
        <is>
          <t>MAJOR SYSTEMS &amp; LIFE TRACKER</t>
        </is>
      </c>
    </row>
    <row r="2" ht="24" customHeight="1" s="52">
      <c r="A2" s="54" t="inlineStr">
        <is>
          <t>Track significant system events: failures, repairs, replacements  •  Helps identify patterns and plan future costs</t>
        </is>
      </c>
    </row>
    <row r="3" ht="31.5" customHeight="1" s="52">
      <c r="A3" s="55" t="inlineStr">
        <is>
          <t>VEHICLE</t>
        </is>
      </c>
      <c r="B3" s="55" t="inlineStr">
        <is>
          <t>DATE</t>
        </is>
      </c>
      <c r="C3" s="55" t="inlineStr">
        <is>
          <t>MILEAGE</t>
        </is>
      </c>
      <c r="D3" s="55" t="inlineStr">
        <is>
          <t>SYSTEM</t>
        </is>
      </c>
      <c r="E3" s="55" t="inlineStr">
        <is>
          <t>EVENT TYPE</t>
        </is>
      </c>
      <c r="F3" s="55" t="inlineStr">
        <is>
          <t>DESCRIPTION</t>
        </is>
      </c>
      <c r="G3" s="55" t="inlineStr">
        <is>
          <t>COST</t>
        </is>
      </c>
      <c r="H3" s="55" t="inlineStr">
        <is>
          <t>SHOP / VENDOR</t>
        </is>
      </c>
      <c r="I3" s="55" t="inlineStr">
        <is>
          <t>WARRANTY?</t>
        </is>
      </c>
      <c r="J3" s="55" t="inlineStr">
        <is>
          <t>WARRANTY EXPIRY</t>
        </is>
      </c>
    </row>
    <row r="4" ht="15" customHeight="1" s="52">
      <c r="A4" s="61" t="inlineStr">
        <is>
          <t>COLDRV3 17 TOY PRIUS</t>
        </is>
      </c>
      <c r="B4" s="71" t="n">
        <v>45731</v>
      </c>
      <c r="C4" s="63" t="n">
        <v>91147</v>
      </c>
      <c r="D4" s="61" t="inlineStr">
        <is>
          <t>Alternator</t>
        </is>
      </c>
      <c r="E4" s="61" t="inlineStr">
        <is>
          <t>Replacement</t>
        </is>
      </c>
      <c r="F4" s="61" t="inlineStr">
        <is>
          <t>Battery not charging</t>
        </is>
      </c>
      <c r="G4" s="62" t="n">
        <v>745.45</v>
      </c>
      <c r="H4" s="61" t="inlineStr">
        <is>
          <t>Firestone</t>
        </is>
      </c>
      <c r="I4" s="61" t="inlineStr">
        <is>
          <t>Yes</t>
        </is>
      </c>
      <c r="J4" s="71" t="n">
        <v>46457</v>
      </c>
    </row>
    <row r="5" ht="15" customHeight="1" s="52">
      <c r="A5" s="56" t="inlineStr">
        <is>
          <t>COLDRV8 21 TOY COR</t>
        </is>
      </c>
      <c r="B5" s="72" t="n">
        <v>45740</v>
      </c>
      <c r="C5" s="58" t="n">
        <v>47074</v>
      </c>
      <c r="D5" s="56" t="inlineStr">
        <is>
          <t>Radiator</t>
        </is>
      </c>
      <c r="E5" s="56" t="inlineStr">
        <is>
          <t>Preventive</t>
        </is>
      </c>
      <c r="F5" s="56" t="inlineStr">
        <is>
          <t>Plastic end tank cracked</t>
        </is>
      </c>
      <c r="G5" s="57" t="n">
        <v>1510</v>
      </c>
      <c r="H5" s="56" t="inlineStr">
        <is>
          <t>Firestone</t>
        </is>
      </c>
      <c r="I5" s="56" t="inlineStr">
        <is>
          <t>No</t>
        </is>
      </c>
      <c r="J5" s="74" t="n"/>
    </row>
    <row r="6" ht="15" customHeight="1" s="52">
      <c r="A6" s="61" t="inlineStr">
        <is>
          <t>COLDRV5 18 HONDA ACCORD</t>
        </is>
      </c>
      <c r="B6" s="71" t="n">
        <v>45755</v>
      </c>
      <c r="C6" s="63" t="n">
        <v>73482</v>
      </c>
      <c r="D6" s="61" t="inlineStr">
        <is>
          <t>Radiator</t>
        </is>
      </c>
      <c r="E6" s="61" t="inlineStr">
        <is>
          <t>Inspection</t>
        </is>
      </c>
      <c r="F6" s="61" t="inlineStr">
        <is>
          <t>Coolant leak at seam</t>
        </is>
      </c>
      <c r="G6" s="62" t="n">
        <v>1284.19</v>
      </c>
      <c r="H6" s="61" t="inlineStr">
        <is>
          <t>Firestone</t>
        </is>
      </c>
      <c r="I6" s="61" t="inlineStr">
        <is>
          <t>No</t>
        </is>
      </c>
      <c r="J6" s="75" t="n"/>
    </row>
    <row r="7" ht="15" customHeight="1" s="52">
      <c r="A7" s="56" t="inlineStr">
        <is>
          <t>COLDRV1 22 TOY COR</t>
        </is>
      </c>
      <c r="B7" s="72" t="n">
        <v>45762</v>
      </c>
      <c r="C7" s="58" t="n">
        <v>39260</v>
      </c>
      <c r="D7" s="56" t="inlineStr">
        <is>
          <t>Radiator</t>
        </is>
      </c>
      <c r="E7" s="56" t="inlineStr">
        <is>
          <t>Preventive</t>
        </is>
      </c>
      <c r="F7" s="56" t="inlineStr">
        <is>
          <t>Plastic end tank cracked</t>
        </is>
      </c>
      <c r="G7" s="57" t="n">
        <v>1602.18</v>
      </c>
      <c r="H7" s="56" t="inlineStr">
        <is>
          <t>Discount Tire</t>
        </is>
      </c>
      <c r="I7" s="56" t="inlineStr">
        <is>
          <t>Yes</t>
        </is>
      </c>
      <c r="J7" s="72" t="n">
        <v>46471</v>
      </c>
    </row>
    <row r="8" ht="15" customHeight="1" s="52">
      <c r="A8" s="61" t="inlineStr">
        <is>
          <t>COLDRV3 17 TOY PRIUS</t>
        </is>
      </c>
      <c r="B8" s="71" t="n">
        <v>45796</v>
      </c>
      <c r="C8" s="63" t="n">
        <v>90361</v>
      </c>
      <c r="D8" s="61" t="inlineStr">
        <is>
          <t>Engine</t>
        </is>
      </c>
      <c r="E8" s="61" t="inlineStr">
        <is>
          <t>Failure</t>
        </is>
      </c>
      <c r="F8" s="61" t="inlineStr">
        <is>
          <t>Check engine light - P0301</t>
        </is>
      </c>
      <c r="G8" s="62" t="n">
        <v>1300.74</v>
      </c>
      <c r="H8" s="61" t="inlineStr">
        <is>
          <t>Honda Service Center</t>
        </is>
      </c>
      <c r="I8" s="61" t="inlineStr">
        <is>
          <t>No</t>
        </is>
      </c>
      <c r="J8" s="75" t="n"/>
    </row>
    <row r="9" ht="15" customHeight="1" s="52">
      <c r="A9" s="56" t="inlineStr">
        <is>
          <t>COLDRV4 2015 HONDA ACCORD</t>
        </is>
      </c>
      <c r="B9" s="72" t="n">
        <v>45796</v>
      </c>
      <c r="C9" s="58" t="n">
        <v>124507</v>
      </c>
      <c r="D9" s="56" t="inlineStr">
        <is>
          <t>Braking System</t>
        </is>
      </c>
      <c r="E9" s="56" t="inlineStr">
        <is>
          <t>Preventive</t>
        </is>
      </c>
      <c r="F9" s="56" t="inlineStr">
        <is>
          <t>ABS light on</t>
        </is>
      </c>
      <c r="G9" s="57" t="n">
        <v>1429.89</v>
      </c>
      <c r="H9" s="56" t="inlineStr">
        <is>
          <t>Midas Auto</t>
        </is>
      </c>
      <c r="I9" s="56" t="inlineStr">
        <is>
          <t>No</t>
        </is>
      </c>
      <c r="J9" s="74" t="n"/>
    </row>
    <row r="10" ht="15" customHeight="1" s="52">
      <c r="A10" s="61" t="inlineStr">
        <is>
          <t>COLDRV1 22 TOY COR</t>
        </is>
      </c>
      <c r="B10" s="71" t="n">
        <v>45802</v>
      </c>
      <c r="C10" s="63" t="n">
        <v>49083</v>
      </c>
      <c r="D10" s="61" t="inlineStr">
        <is>
          <t>Alternator</t>
        </is>
      </c>
      <c r="E10" s="61" t="inlineStr">
        <is>
          <t>Inspection</t>
        </is>
      </c>
      <c r="F10" s="61" t="inlineStr">
        <is>
          <t>Whining noise from belt area</t>
        </is>
      </c>
      <c r="G10" s="62" t="n">
        <v>1066.04</v>
      </c>
      <c r="H10" s="61" t="inlineStr">
        <is>
          <t>Pep Boys</t>
        </is>
      </c>
      <c r="I10" s="61" t="inlineStr">
        <is>
          <t>No</t>
        </is>
      </c>
      <c r="J10" s="75" t="n"/>
    </row>
    <row r="11" ht="15" customHeight="1" s="52">
      <c r="A11" s="56" t="inlineStr">
        <is>
          <t>COLDRV2 17 NISSAN ALTIMA</t>
        </is>
      </c>
      <c r="B11" s="72" t="n">
        <v>45820</v>
      </c>
      <c r="C11" s="58" t="n">
        <v>102056</v>
      </c>
      <c r="D11" s="56" t="inlineStr">
        <is>
          <t>Engine</t>
        </is>
      </c>
      <c r="E11" s="56" t="inlineStr">
        <is>
          <t>Failure</t>
        </is>
      </c>
      <c r="F11" s="56" t="inlineStr">
        <is>
          <t>Check engine light - P0301</t>
        </is>
      </c>
      <c r="G11" s="57" t="n">
        <v>515.63</v>
      </c>
      <c r="H11" s="56" t="inlineStr">
        <is>
          <t>Pep Boys</t>
        </is>
      </c>
      <c r="I11" s="56" t="inlineStr">
        <is>
          <t>No</t>
        </is>
      </c>
      <c r="J11" s="74" t="n"/>
    </row>
    <row r="12" ht="15" customHeight="1" s="52">
      <c r="A12" s="61" t="inlineStr">
        <is>
          <t>COLDRV5 18 HONDA ACCORD</t>
        </is>
      </c>
      <c r="B12" s="71" t="n">
        <v>45839</v>
      </c>
      <c r="C12" s="63" t="n">
        <v>69339</v>
      </c>
      <c r="D12" s="61" t="inlineStr">
        <is>
          <t>Transmission</t>
        </is>
      </c>
      <c r="E12" s="61" t="inlineStr">
        <is>
          <t>Preventive</t>
        </is>
      </c>
      <c r="F12" s="61" t="inlineStr">
        <is>
          <t>Fluid dark and burnt smell</t>
        </is>
      </c>
      <c r="G12" s="62" t="n">
        <v>1218.6</v>
      </c>
      <c r="H12" s="61" t="inlineStr">
        <is>
          <t>Firestone</t>
        </is>
      </c>
      <c r="I12" s="61" t="inlineStr">
        <is>
          <t>No</t>
        </is>
      </c>
      <c r="J12" s="75" t="n"/>
    </row>
    <row r="13" ht="15" customHeight="1" s="52">
      <c r="A13" s="56" t="inlineStr">
        <is>
          <t>COLDRV4 2015 HONDA ACCORD</t>
        </is>
      </c>
      <c r="B13" s="72" t="n">
        <v>45864</v>
      </c>
      <c r="C13" s="58" t="n">
        <v>113251</v>
      </c>
      <c r="D13" s="56" t="inlineStr">
        <is>
          <t>Braking System</t>
        </is>
      </c>
      <c r="E13" s="56" t="inlineStr">
        <is>
          <t>Inspection</t>
        </is>
      </c>
      <c r="F13" s="56" t="inlineStr">
        <is>
          <t>Grinding noise</t>
        </is>
      </c>
      <c r="G13" s="57" t="n">
        <v>1088.24</v>
      </c>
      <c r="H13" s="56" t="inlineStr">
        <is>
          <t>Quick Lube Express</t>
        </is>
      </c>
      <c r="I13" s="56" t="inlineStr">
        <is>
          <t>No</t>
        </is>
      </c>
      <c r="J13" s="74" t="n"/>
    </row>
    <row r="14" ht="15" customHeight="1" s="52">
      <c r="A14" s="61" t="inlineStr">
        <is>
          <t>COLDRV2 17 NISSAN ALTIMA</t>
        </is>
      </c>
      <c r="B14" s="71" t="n">
        <v>45897</v>
      </c>
      <c r="C14" s="63" t="n">
        <v>94528</v>
      </c>
      <c r="D14" s="61" t="inlineStr">
        <is>
          <t>Catalytic Converter</t>
        </is>
      </c>
      <c r="E14" s="61" t="inlineStr">
        <is>
          <t>Preventive</t>
        </is>
      </c>
      <c r="F14" s="61" t="inlineStr">
        <is>
          <t>Rattle from underneath</t>
        </is>
      </c>
      <c r="G14" s="62" t="n">
        <v>852.08</v>
      </c>
      <c r="H14" s="61" t="inlineStr">
        <is>
          <t>Discount Tire</t>
        </is>
      </c>
      <c r="I14" s="61" t="inlineStr">
        <is>
          <t>No</t>
        </is>
      </c>
      <c r="J14" s="75" t="n"/>
    </row>
    <row r="15" ht="15" customHeight="1" s="52">
      <c r="A15" s="56" t="inlineStr">
        <is>
          <t>COLDRV3 17 TOY PRIUS</t>
        </is>
      </c>
      <c r="B15" s="72" t="n">
        <v>45937</v>
      </c>
      <c r="C15" s="58" t="n">
        <v>93041</v>
      </c>
      <c r="D15" s="56" t="inlineStr">
        <is>
          <t>Engine</t>
        </is>
      </c>
      <c r="E15" s="56" t="inlineStr">
        <is>
          <t>Preventive</t>
        </is>
      </c>
      <c r="F15" s="56" t="inlineStr">
        <is>
          <t>Check engine light - P0301</t>
        </is>
      </c>
      <c r="G15" s="57" t="n">
        <v>924.5</v>
      </c>
      <c r="H15" s="56" t="inlineStr">
        <is>
          <t>AAMCO</t>
        </is>
      </c>
      <c r="I15" s="56" t="inlineStr">
        <is>
          <t>No</t>
        </is>
      </c>
      <c r="J15" s="74" t="n"/>
    </row>
    <row r="16" ht="15" customHeight="1" s="52">
      <c r="A16" s="61" t="inlineStr">
        <is>
          <t>COLDRV3 17 TOY PRIUS</t>
        </is>
      </c>
      <c r="B16" s="71" t="n">
        <v>45973</v>
      </c>
      <c r="C16" s="63" t="n">
        <v>89427</v>
      </c>
      <c r="D16" s="61" t="inlineStr">
        <is>
          <t>Radiator</t>
        </is>
      </c>
      <c r="E16" s="61" t="inlineStr">
        <is>
          <t>Inspection</t>
        </is>
      </c>
      <c r="F16" s="61" t="inlineStr">
        <is>
          <t>Coolant leak at seam</t>
        </is>
      </c>
      <c r="G16" s="62" t="n">
        <v>1506.49</v>
      </c>
      <c r="H16" s="61" t="inlineStr">
        <is>
          <t>Midas Auto</t>
        </is>
      </c>
      <c r="I16" s="61" t="inlineStr">
        <is>
          <t>No</t>
        </is>
      </c>
      <c r="J16" s="75" t="n"/>
    </row>
    <row r="17" ht="15" customHeight="1" s="52">
      <c r="A17" s="56" t="inlineStr">
        <is>
          <t>COLDRV4 2015 HONDA ACCORD</t>
        </is>
      </c>
      <c r="B17" s="72" t="n">
        <v>45991</v>
      </c>
      <c r="C17" s="58" t="n">
        <v>115695</v>
      </c>
      <c r="D17" s="56" t="inlineStr">
        <is>
          <t>Alternator</t>
        </is>
      </c>
      <c r="E17" s="56" t="inlineStr">
        <is>
          <t>Repair</t>
        </is>
      </c>
      <c r="F17" s="56" t="inlineStr">
        <is>
          <t>Whining noise from belt area</t>
        </is>
      </c>
      <c r="G17" s="57" t="n">
        <v>1239.71</v>
      </c>
      <c r="H17" s="56" t="inlineStr">
        <is>
          <t>Honda Service Center</t>
        </is>
      </c>
      <c r="I17" s="56" t="inlineStr">
        <is>
          <t>No</t>
        </is>
      </c>
      <c r="J17" s="74" t="n"/>
    </row>
    <row r="18" ht="15" customHeight="1" s="52">
      <c r="A18" s="61" t="inlineStr">
        <is>
          <t>COLDRV2 17 NISSAN ALTIMA</t>
        </is>
      </c>
      <c r="B18" s="71" t="n">
        <v>46016</v>
      </c>
      <c r="C18" s="63" t="n">
        <v>93339</v>
      </c>
      <c r="D18" s="61" t="inlineStr">
        <is>
          <t>Catalytic Converter</t>
        </is>
      </c>
      <c r="E18" s="61" t="inlineStr">
        <is>
          <t>Replacement</t>
        </is>
      </c>
      <c r="F18" s="61" t="inlineStr">
        <is>
          <t>Rattle from underneath</t>
        </is>
      </c>
      <c r="G18" s="62" t="n">
        <v>564.8200000000001</v>
      </c>
      <c r="H18" s="61" t="inlineStr">
        <is>
          <t>Toyota of Columbus</t>
        </is>
      </c>
      <c r="I18" s="61" t="inlineStr">
        <is>
          <t>No</t>
        </is>
      </c>
      <c r="J18" s="75" t="n"/>
    </row>
    <row r="19" ht="15" customHeight="1" s="52">
      <c r="A19" s="56" t="inlineStr">
        <is>
          <t>COLDRV2 17 NISSAN ALTIMA</t>
        </is>
      </c>
      <c r="B19" s="72" t="n">
        <v>46061</v>
      </c>
      <c r="C19" s="58" t="n">
        <v>102319</v>
      </c>
      <c r="D19" s="56" t="inlineStr">
        <is>
          <t>Starter</t>
        </is>
      </c>
      <c r="E19" s="56" t="inlineStr">
        <is>
          <t>Repair</t>
        </is>
      </c>
      <c r="F19" s="56" t="inlineStr">
        <is>
          <t>Slow cranking</t>
        </is>
      </c>
      <c r="G19" s="57" t="n">
        <v>507.03</v>
      </c>
      <c r="H19" s="56" t="inlineStr">
        <is>
          <t>AAMCO</t>
        </is>
      </c>
      <c r="I19" s="56" t="inlineStr">
        <is>
          <t>No</t>
        </is>
      </c>
      <c r="J19" s="74" t="n"/>
    </row>
    <row r="20" ht="15" customHeight="1" s="52">
      <c r="A20" s="61" t="inlineStr">
        <is>
          <t>COLDRV3 17 TOY PRIUS</t>
        </is>
      </c>
      <c r="B20" s="71" t="n">
        <v>46076</v>
      </c>
      <c r="C20" s="63" t="n">
        <v>90881</v>
      </c>
      <c r="D20" s="61" t="inlineStr">
        <is>
          <t>Engine</t>
        </is>
      </c>
      <c r="E20" s="61" t="inlineStr">
        <is>
          <t>Repair</t>
        </is>
      </c>
      <c r="F20" s="61" t="inlineStr">
        <is>
          <t>Oil leak at valve cover</t>
        </is>
      </c>
      <c r="G20" s="62" t="n">
        <v>1488.38</v>
      </c>
      <c r="H20" s="61" t="inlineStr">
        <is>
          <t>Firestone</t>
        </is>
      </c>
      <c r="I20" s="61" t="inlineStr">
        <is>
          <t>Yes</t>
        </is>
      </c>
      <c r="J20" s="71" t="n">
        <v>46510</v>
      </c>
    </row>
    <row r="21" ht="15" customHeight="1" s="52">
      <c r="A21" s="56" t="inlineStr">
        <is>
          <t>COLDRV4 2015 HONDA ACCORD</t>
        </is>
      </c>
      <c r="B21" s="72" t="n">
        <v>46091</v>
      </c>
      <c r="C21" s="58" t="n">
        <v>119543</v>
      </c>
      <c r="D21" s="56" t="inlineStr">
        <is>
          <t>Transmission</t>
        </is>
      </c>
      <c r="E21" s="56" t="inlineStr">
        <is>
          <t>Repair</t>
        </is>
      </c>
      <c r="F21" s="56" t="inlineStr">
        <is>
          <t>Slipping between 2nd and 3rd</t>
        </is>
      </c>
      <c r="G21" s="57" t="n">
        <v>824.05</v>
      </c>
      <c r="H21" s="56" t="inlineStr">
        <is>
          <t>Meineke</t>
        </is>
      </c>
      <c r="I21" s="56" t="inlineStr">
        <is>
          <t>No</t>
        </is>
      </c>
      <c r="J21" s="74" t="n"/>
    </row>
    <row r="22" ht="15" customHeight="1" s="52">
      <c r="A22" s="61" t="n"/>
      <c r="B22" s="75" t="n"/>
      <c r="C22" s="63" t="n"/>
      <c r="D22" s="61" t="n"/>
      <c r="E22" s="61" t="n"/>
      <c r="F22" s="61" t="n"/>
      <c r="G22" s="62" t="n"/>
      <c r="H22" s="61" t="n"/>
      <c r="I22" s="61" t="n"/>
      <c r="J22" s="75" t="n"/>
    </row>
    <row r="23" ht="15" customHeight="1" s="52">
      <c r="A23" s="56" t="n"/>
      <c r="B23" s="74" t="n"/>
      <c r="C23" s="58" t="n"/>
      <c r="D23" s="56" t="n"/>
      <c r="E23" s="56" t="n"/>
      <c r="F23" s="56" t="n"/>
      <c r="G23" s="57" t="n"/>
      <c r="H23" s="56" t="n"/>
      <c r="I23" s="56" t="n"/>
      <c r="J23" s="74" t="n"/>
    </row>
    <row r="24" ht="15" customHeight="1" s="52">
      <c r="A24" s="61" t="n"/>
      <c r="B24" s="75" t="n"/>
      <c r="C24" s="63" t="n"/>
      <c r="D24" s="61" t="n"/>
      <c r="E24" s="61" t="n"/>
      <c r="F24" s="61" t="n"/>
      <c r="G24" s="62" t="n"/>
      <c r="H24" s="61" t="n"/>
      <c r="I24" s="61" t="n"/>
      <c r="J24" s="75" t="n"/>
    </row>
    <row r="25" ht="15" customHeight="1" s="52">
      <c r="A25" s="56" t="n"/>
      <c r="B25" s="74" t="n"/>
      <c r="C25" s="58" t="n"/>
      <c r="D25" s="56" t="n"/>
      <c r="E25" s="56" t="n"/>
      <c r="F25" s="56" t="n"/>
      <c r="G25" s="57" t="n"/>
      <c r="H25" s="56" t="n"/>
      <c r="I25" s="56" t="n"/>
      <c r="J25" s="74" t="n"/>
    </row>
    <row r="26" ht="15" customHeight="1" s="52">
      <c r="A26" s="61" t="n"/>
      <c r="B26" s="75" t="n"/>
      <c r="C26" s="63" t="n"/>
      <c r="D26" s="61" t="n"/>
      <c r="E26" s="61" t="n"/>
      <c r="F26" s="61" t="n"/>
      <c r="G26" s="62" t="n"/>
      <c r="H26" s="61" t="n"/>
      <c r="I26" s="61" t="n"/>
      <c r="J26" s="75" t="n"/>
    </row>
    <row r="27" ht="15" customHeight="1" s="52">
      <c r="A27" s="56" t="n"/>
      <c r="B27" s="74" t="n"/>
      <c r="C27" s="58" t="n"/>
      <c r="D27" s="56" t="n"/>
      <c r="E27" s="56" t="n"/>
      <c r="F27" s="56" t="n"/>
      <c r="G27" s="57" t="n"/>
      <c r="H27" s="56" t="n"/>
      <c r="I27" s="56" t="n"/>
      <c r="J27" s="74" t="n"/>
    </row>
    <row r="28" ht="15" customHeight="1" s="52">
      <c r="A28" s="61" t="n"/>
      <c r="B28" s="75" t="n"/>
      <c r="C28" s="63" t="n"/>
      <c r="D28" s="61" t="n"/>
      <c r="E28" s="61" t="n"/>
      <c r="F28" s="61" t="n"/>
      <c r="G28" s="62" t="n"/>
      <c r="H28" s="61" t="n"/>
      <c r="I28" s="61" t="n"/>
      <c r="J28" s="75" t="n"/>
    </row>
    <row r="29" ht="15" customHeight="1" s="52">
      <c r="A29" s="56" t="n"/>
      <c r="B29" s="74" t="n"/>
      <c r="C29" s="58" t="n"/>
      <c r="D29" s="56" t="n"/>
      <c r="E29" s="56" t="n"/>
      <c r="F29" s="56" t="n"/>
      <c r="G29" s="57" t="n"/>
      <c r="H29" s="56" t="n"/>
      <c r="I29" s="56" t="n"/>
      <c r="J29" s="74" t="n"/>
    </row>
    <row r="30" ht="15" customHeight="1" s="52">
      <c r="A30" s="61" t="n"/>
      <c r="B30" s="75" t="n"/>
      <c r="C30" s="63" t="n"/>
      <c r="D30" s="61" t="n"/>
      <c r="E30" s="61" t="n"/>
      <c r="F30" s="61" t="n"/>
      <c r="G30" s="62" t="n"/>
      <c r="H30" s="61" t="n"/>
      <c r="I30" s="61" t="n"/>
      <c r="J30" s="75" t="n"/>
    </row>
    <row r="31" ht="15" customHeight="1" s="52">
      <c r="A31" s="56" t="n"/>
      <c r="B31" s="74" t="n"/>
      <c r="C31" s="58" t="n"/>
      <c r="D31" s="56" t="n"/>
      <c r="E31" s="56" t="n"/>
      <c r="F31" s="56" t="n"/>
      <c r="G31" s="57" t="n"/>
      <c r="H31" s="56" t="n"/>
      <c r="I31" s="56" t="n"/>
      <c r="J31" s="74" t="n"/>
    </row>
    <row r="32" ht="15" customHeight="1" s="52">
      <c r="A32" s="61" t="n"/>
      <c r="B32" s="75" t="n"/>
      <c r="C32" s="63" t="n"/>
      <c r="D32" s="61" t="n"/>
      <c r="E32" s="61" t="n"/>
      <c r="F32" s="61" t="n"/>
      <c r="G32" s="62" t="n"/>
      <c r="H32" s="61" t="n"/>
      <c r="I32" s="61" t="n"/>
      <c r="J32" s="75" t="n"/>
    </row>
    <row r="33" ht="15" customHeight="1" s="52">
      <c r="A33" s="56" t="n"/>
      <c r="B33" s="74" t="n"/>
      <c r="C33" s="58" t="n"/>
      <c r="D33" s="56" t="n"/>
      <c r="E33" s="56" t="n"/>
      <c r="F33" s="56" t="n"/>
      <c r="G33" s="57" t="n"/>
      <c r="H33" s="56" t="n"/>
      <c r="I33" s="56" t="n"/>
      <c r="J33" s="74" t="n"/>
    </row>
    <row r="34" ht="15" customHeight="1" s="52">
      <c r="A34" s="61" t="n"/>
      <c r="B34" s="75" t="n"/>
      <c r="C34" s="63" t="n"/>
      <c r="D34" s="61" t="n"/>
      <c r="E34" s="61" t="n"/>
      <c r="F34" s="61" t="n"/>
      <c r="G34" s="62" t="n"/>
      <c r="H34" s="61" t="n"/>
      <c r="I34" s="61" t="n"/>
      <c r="J34" s="75" t="n"/>
    </row>
    <row r="35" ht="15" customHeight="1" s="52">
      <c r="A35" s="56" t="n"/>
      <c r="B35" s="74" t="n"/>
      <c r="C35" s="58" t="n"/>
      <c r="D35" s="56" t="n"/>
      <c r="E35" s="56" t="n"/>
      <c r="F35" s="56" t="n"/>
      <c r="G35" s="57" t="n"/>
      <c r="H35" s="56" t="n"/>
      <c r="I35" s="56" t="n"/>
      <c r="J35" s="74" t="n"/>
    </row>
    <row r="36" ht="15" customHeight="1" s="52">
      <c r="A36" s="61" t="n"/>
      <c r="B36" s="75" t="n"/>
      <c r="C36" s="63" t="n"/>
      <c r="D36" s="61" t="n"/>
      <c r="E36" s="61" t="n"/>
      <c r="F36" s="61" t="n"/>
      <c r="G36" s="62" t="n"/>
      <c r="H36" s="61" t="n"/>
      <c r="I36" s="61" t="n"/>
      <c r="J36" s="75" t="n"/>
    </row>
    <row r="37" ht="15" customHeight="1" s="52">
      <c r="A37" s="56" t="n"/>
      <c r="B37" s="74" t="n"/>
      <c r="C37" s="58" t="n"/>
      <c r="D37" s="56" t="n"/>
      <c r="E37" s="56" t="n"/>
      <c r="F37" s="56" t="n"/>
      <c r="G37" s="57" t="n"/>
      <c r="H37" s="56" t="n"/>
      <c r="I37" s="56" t="n"/>
      <c r="J37" s="74" t="n"/>
    </row>
    <row r="38" ht="15" customHeight="1" s="52">
      <c r="A38" s="61" t="n"/>
      <c r="B38" s="75" t="n"/>
      <c r="C38" s="63" t="n"/>
      <c r="D38" s="61" t="n"/>
      <c r="E38" s="61" t="n"/>
      <c r="F38" s="61" t="n"/>
      <c r="G38" s="62" t="n"/>
      <c r="H38" s="61" t="n"/>
      <c r="I38" s="61" t="n"/>
      <c r="J38" s="75" t="n"/>
    </row>
    <row r="39" ht="15" customHeight="1" s="52">
      <c r="A39" s="56" t="n"/>
      <c r="B39" s="74" t="n"/>
      <c r="C39" s="58" t="n"/>
      <c r="D39" s="56" t="n"/>
      <c r="E39" s="56" t="n"/>
      <c r="F39" s="56" t="n"/>
      <c r="G39" s="57" t="n"/>
      <c r="H39" s="56" t="n"/>
      <c r="I39" s="56" t="n"/>
      <c r="J39" s="74" t="n"/>
    </row>
    <row r="40" ht="15" customHeight="1" s="52">
      <c r="A40" s="61" t="n"/>
      <c r="B40" s="75" t="n"/>
      <c r="C40" s="63" t="n"/>
      <c r="D40" s="61" t="n"/>
      <c r="E40" s="61" t="n"/>
      <c r="F40" s="61" t="n"/>
      <c r="G40" s="62" t="n"/>
      <c r="H40" s="61" t="n"/>
      <c r="I40" s="61" t="n"/>
      <c r="J40" s="75" t="n"/>
    </row>
    <row r="41" ht="15" customHeight="1" s="52">
      <c r="A41" s="56" t="n"/>
      <c r="B41" s="74" t="n"/>
      <c r="C41" s="58" t="n"/>
      <c r="D41" s="56" t="n"/>
      <c r="E41" s="56" t="n"/>
      <c r="F41" s="56" t="n"/>
      <c r="G41" s="57" t="n"/>
      <c r="H41" s="56" t="n"/>
      <c r="I41" s="56" t="n"/>
      <c r="J41" s="74" t="n"/>
    </row>
    <row r="42" ht="15" customHeight="1" s="52">
      <c r="A42" s="61" t="n"/>
      <c r="B42" s="75" t="n"/>
      <c r="C42" s="63" t="n"/>
      <c r="D42" s="61" t="n"/>
      <c r="E42" s="61" t="n"/>
      <c r="F42" s="61" t="n"/>
      <c r="G42" s="62" t="n"/>
      <c r="H42" s="61" t="n"/>
      <c r="I42" s="61" t="n"/>
      <c r="J42" s="75" t="n"/>
    </row>
    <row r="43" ht="15" customHeight="1" s="52">
      <c r="A43" s="56" t="n"/>
      <c r="B43" s="74" t="n"/>
      <c r="C43" s="58" t="n"/>
      <c r="D43" s="56" t="n"/>
      <c r="E43" s="56" t="n"/>
      <c r="F43" s="56" t="n"/>
      <c r="G43" s="57" t="n"/>
      <c r="H43" s="56" t="n"/>
      <c r="I43" s="56" t="n"/>
      <c r="J43" s="74" t="n"/>
    </row>
    <row r="44" ht="15" customHeight="1" s="52">
      <c r="A44" s="61" t="n"/>
      <c r="B44" s="75" t="n"/>
      <c r="C44" s="63" t="n"/>
      <c r="D44" s="61" t="n"/>
      <c r="E44" s="61" t="n"/>
      <c r="F44" s="61" t="n"/>
      <c r="G44" s="62" t="n"/>
      <c r="H44" s="61" t="n"/>
      <c r="I44" s="61" t="n"/>
      <c r="J44" s="75" t="n"/>
    </row>
    <row r="45" ht="15" customHeight="1" s="52">
      <c r="A45" s="56" t="n"/>
      <c r="B45" s="74" t="n"/>
      <c r="C45" s="58" t="n"/>
      <c r="D45" s="56" t="n"/>
      <c r="E45" s="56" t="n"/>
      <c r="F45" s="56" t="n"/>
      <c r="G45" s="57" t="n"/>
      <c r="H45" s="56" t="n"/>
      <c r="I45" s="56" t="n"/>
      <c r="J45" s="74" t="n"/>
    </row>
    <row r="46" ht="15" customHeight="1" s="52">
      <c r="A46" s="61" t="n"/>
      <c r="B46" s="75" t="n"/>
      <c r="C46" s="63" t="n"/>
      <c r="D46" s="61" t="n"/>
      <c r="E46" s="61" t="n"/>
      <c r="F46" s="61" t="n"/>
      <c r="G46" s="62" t="n"/>
      <c r="H46" s="61" t="n"/>
      <c r="I46" s="61" t="n"/>
      <c r="J46" s="75" t="n"/>
    </row>
    <row r="47" ht="15" customHeight="1" s="52">
      <c r="A47" s="56" t="n"/>
      <c r="B47" s="74" t="n"/>
      <c r="C47" s="58" t="n"/>
      <c r="D47" s="56" t="n"/>
      <c r="E47" s="56" t="n"/>
      <c r="F47" s="56" t="n"/>
      <c r="G47" s="57" t="n"/>
      <c r="H47" s="56" t="n"/>
      <c r="I47" s="56" t="n"/>
      <c r="J47" s="74" t="n"/>
    </row>
    <row r="48" ht="15" customHeight="1" s="52">
      <c r="A48" s="61" t="n"/>
      <c r="B48" s="75" t="n"/>
      <c r="C48" s="63" t="n"/>
      <c r="D48" s="61" t="n"/>
      <c r="E48" s="61" t="n"/>
      <c r="F48" s="61" t="n"/>
      <c r="G48" s="62" t="n"/>
      <c r="H48" s="61" t="n"/>
      <c r="I48" s="61" t="n"/>
      <c r="J48" s="75" t="n"/>
    </row>
    <row r="49" ht="15" customHeight="1" s="52">
      <c r="A49" s="56" t="n"/>
      <c r="B49" s="74" t="n"/>
      <c r="C49" s="58" t="n"/>
      <c r="D49" s="56" t="n"/>
      <c r="E49" s="56" t="n"/>
      <c r="F49" s="56" t="n"/>
      <c r="G49" s="57" t="n"/>
      <c r="H49" s="56" t="n"/>
      <c r="I49" s="56" t="n"/>
      <c r="J49" s="74" t="n"/>
    </row>
    <row r="50" ht="15" customHeight="1" s="52">
      <c r="A50" s="61" t="n"/>
      <c r="B50" s="75" t="n"/>
      <c r="C50" s="63" t="n"/>
      <c r="D50" s="61" t="n"/>
      <c r="E50" s="61" t="n"/>
      <c r="F50" s="61" t="n"/>
      <c r="G50" s="62" t="n"/>
      <c r="H50" s="61" t="n"/>
      <c r="I50" s="61" t="n"/>
      <c r="J50" s="75" t="n"/>
    </row>
    <row r="51" ht="15" customHeight="1" s="52">
      <c r="A51" s="56" t="n"/>
      <c r="B51" s="74" t="n"/>
      <c r="C51" s="58" t="n"/>
      <c r="D51" s="56" t="n"/>
      <c r="E51" s="56" t="n"/>
      <c r="F51" s="56" t="n"/>
      <c r="G51" s="57" t="n"/>
      <c r="H51" s="56" t="n"/>
      <c r="I51" s="56" t="n"/>
      <c r="J51" s="74" t="n"/>
    </row>
    <row r="52" ht="15" customHeight="1" s="52">
      <c r="A52" s="61" t="n"/>
      <c r="B52" s="75" t="n"/>
      <c r="C52" s="63" t="n"/>
      <c r="D52" s="61" t="n"/>
      <c r="E52" s="61" t="n"/>
      <c r="F52" s="61" t="n"/>
      <c r="G52" s="62" t="n"/>
      <c r="H52" s="61" t="n"/>
      <c r="I52" s="61" t="n"/>
      <c r="J52" s="75" t="n"/>
    </row>
    <row r="53" ht="15" customHeight="1" s="52">
      <c r="A53" s="56" t="n"/>
      <c r="B53" s="74" t="n"/>
      <c r="C53" s="58" t="n"/>
      <c r="D53" s="56" t="n"/>
      <c r="E53" s="56" t="n"/>
      <c r="F53" s="56" t="n"/>
      <c r="G53" s="57" t="n"/>
      <c r="H53" s="56" t="n"/>
      <c r="I53" s="56" t="n"/>
      <c r="J53" s="74" t="n"/>
    </row>
    <row r="54" ht="15" customHeight="1" s="52">
      <c r="A54" s="61" t="n"/>
      <c r="B54" s="75" t="n"/>
      <c r="C54" s="63" t="n"/>
      <c r="D54" s="61" t="n"/>
      <c r="E54" s="61" t="n"/>
      <c r="F54" s="61" t="n"/>
      <c r="G54" s="62" t="n"/>
      <c r="H54" s="61" t="n"/>
      <c r="I54" s="61" t="n"/>
      <c r="J54" s="75" t="n"/>
    </row>
    <row r="55" ht="15" customHeight="1" s="52">
      <c r="A55" s="56" t="n"/>
      <c r="B55" s="74" t="n"/>
      <c r="C55" s="58" t="n"/>
      <c r="D55" s="56" t="n"/>
      <c r="E55" s="56" t="n"/>
      <c r="F55" s="56" t="n"/>
      <c r="G55" s="57" t="n"/>
      <c r="H55" s="56" t="n"/>
      <c r="I55" s="56" t="n"/>
      <c r="J55" s="74" t="n"/>
    </row>
    <row r="56" ht="15" customHeight="1" s="52">
      <c r="A56" s="61" t="n"/>
      <c r="B56" s="75" t="n"/>
      <c r="C56" s="63" t="n"/>
      <c r="D56" s="61" t="n"/>
      <c r="E56" s="61" t="n"/>
      <c r="F56" s="61" t="n"/>
      <c r="G56" s="62" t="n"/>
      <c r="H56" s="61" t="n"/>
      <c r="I56" s="61" t="n"/>
      <c r="J56" s="75" t="n"/>
    </row>
    <row r="57" ht="15" customHeight="1" s="52">
      <c r="A57" s="56" t="n"/>
      <c r="B57" s="74" t="n"/>
      <c r="C57" s="58" t="n"/>
      <c r="D57" s="56" t="n"/>
      <c r="E57" s="56" t="n"/>
      <c r="F57" s="56" t="n"/>
      <c r="G57" s="57" t="n"/>
      <c r="H57" s="56" t="n"/>
      <c r="I57" s="56" t="n"/>
      <c r="J57" s="74" t="n"/>
    </row>
    <row r="58" ht="15" customHeight="1" s="52">
      <c r="A58" s="61" t="n"/>
      <c r="B58" s="75" t="n"/>
      <c r="C58" s="63" t="n"/>
      <c r="D58" s="61" t="n"/>
      <c r="E58" s="61" t="n"/>
      <c r="F58" s="61" t="n"/>
      <c r="G58" s="62" t="n"/>
      <c r="H58" s="61" t="n"/>
      <c r="I58" s="61" t="n"/>
      <c r="J58" s="75" t="n"/>
    </row>
    <row r="59" ht="15" customHeight="1" s="52">
      <c r="A59" s="56" t="n"/>
      <c r="B59" s="74" t="n"/>
      <c r="C59" s="58" t="n"/>
      <c r="D59" s="56" t="n"/>
      <c r="E59" s="56" t="n"/>
      <c r="F59" s="56" t="n"/>
      <c r="G59" s="57" t="n"/>
      <c r="H59" s="56" t="n"/>
      <c r="I59" s="56" t="n"/>
      <c r="J59" s="74" t="n"/>
    </row>
    <row r="60" ht="15" customHeight="1" s="52">
      <c r="A60" s="61" t="n"/>
      <c r="B60" s="75" t="n"/>
      <c r="C60" s="63" t="n"/>
      <c r="D60" s="61" t="n"/>
      <c r="E60" s="61" t="n"/>
      <c r="F60" s="61" t="n"/>
      <c r="G60" s="62" t="n"/>
      <c r="H60" s="61" t="n"/>
      <c r="I60" s="61" t="n"/>
      <c r="J60" s="75" t="n"/>
    </row>
    <row r="61" ht="15" customHeight="1" s="52">
      <c r="A61" s="56" t="n"/>
      <c r="B61" s="74" t="n"/>
      <c r="C61" s="58" t="n"/>
      <c r="D61" s="56" t="n"/>
      <c r="E61" s="56" t="n"/>
      <c r="F61" s="56" t="n"/>
      <c r="G61" s="57" t="n"/>
      <c r="H61" s="56" t="n"/>
      <c r="I61" s="56" t="n"/>
      <c r="J61" s="74" t="n"/>
    </row>
    <row r="62" ht="15" customHeight="1" s="52">
      <c r="A62" s="61" t="n"/>
      <c r="B62" s="75" t="n"/>
      <c r="C62" s="63" t="n"/>
      <c r="D62" s="61" t="n"/>
      <c r="E62" s="61" t="n"/>
      <c r="F62" s="61" t="n"/>
      <c r="G62" s="62" t="n"/>
      <c r="H62" s="61" t="n"/>
      <c r="I62" s="61" t="n"/>
      <c r="J62" s="75" t="n"/>
    </row>
    <row r="63" ht="15" customHeight="1" s="52">
      <c r="A63" s="56" t="n"/>
      <c r="B63" s="74" t="n"/>
      <c r="C63" s="58" t="n"/>
      <c r="D63" s="56" t="n"/>
      <c r="E63" s="56" t="n"/>
      <c r="F63" s="56" t="n"/>
      <c r="G63" s="57" t="n"/>
      <c r="H63" s="56" t="n"/>
      <c r="I63" s="56" t="n"/>
      <c r="J63" s="74" t="n"/>
    </row>
    <row r="64" ht="15" customHeight="1" s="52">
      <c r="A64" s="61" t="n"/>
      <c r="B64" s="75" t="n"/>
      <c r="C64" s="63" t="n"/>
      <c r="D64" s="61" t="n"/>
      <c r="E64" s="61" t="n"/>
      <c r="F64" s="61" t="n"/>
      <c r="G64" s="62" t="n"/>
      <c r="H64" s="61" t="n"/>
      <c r="I64" s="61" t="n"/>
      <c r="J64" s="75" t="n"/>
    </row>
    <row r="65" ht="15" customHeight="1" s="52">
      <c r="A65" s="56" t="n"/>
      <c r="B65" s="74" t="n"/>
      <c r="C65" s="58" t="n"/>
      <c r="D65" s="56" t="n"/>
      <c r="E65" s="56" t="n"/>
      <c r="F65" s="56" t="n"/>
      <c r="G65" s="57" t="n"/>
      <c r="H65" s="56" t="n"/>
      <c r="I65" s="56" t="n"/>
      <c r="J65" s="74" t="n"/>
    </row>
    <row r="66" ht="15" customHeight="1" s="52">
      <c r="A66" s="61" t="n"/>
      <c r="B66" s="75" t="n"/>
      <c r="C66" s="63" t="n"/>
      <c r="D66" s="61" t="n"/>
      <c r="E66" s="61" t="n"/>
      <c r="F66" s="61" t="n"/>
      <c r="G66" s="62" t="n"/>
      <c r="H66" s="61" t="n"/>
      <c r="I66" s="61" t="n"/>
      <c r="J66" s="75" t="n"/>
    </row>
    <row r="67" ht="15" customHeight="1" s="52">
      <c r="A67" s="56" t="n"/>
      <c r="B67" s="74" t="n"/>
      <c r="C67" s="58" t="n"/>
      <c r="D67" s="56" t="n"/>
      <c r="E67" s="56" t="n"/>
      <c r="F67" s="56" t="n"/>
      <c r="G67" s="57" t="n"/>
      <c r="H67" s="56" t="n"/>
      <c r="I67" s="56" t="n"/>
      <c r="J67" s="74" t="n"/>
    </row>
    <row r="68" ht="15" customHeight="1" s="52">
      <c r="A68" s="61" t="n"/>
      <c r="B68" s="75" t="n"/>
      <c r="C68" s="63" t="n"/>
      <c r="D68" s="61" t="n"/>
      <c r="E68" s="61" t="n"/>
      <c r="F68" s="61" t="n"/>
      <c r="G68" s="62" t="n"/>
      <c r="H68" s="61" t="n"/>
      <c r="I68" s="61" t="n"/>
      <c r="J68" s="75" t="n"/>
    </row>
    <row r="69" ht="15" customHeight="1" s="52">
      <c r="A69" s="56" t="n"/>
      <c r="B69" s="74" t="n"/>
      <c r="C69" s="58" t="n"/>
      <c r="D69" s="56" t="n"/>
      <c r="E69" s="56" t="n"/>
      <c r="F69" s="56" t="n"/>
      <c r="G69" s="57" t="n"/>
      <c r="H69" s="56" t="n"/>
      <c r="I69" s="56" t="n"/>
      <c r="J69" s="74" t="n"/>
    </row>
    <row r="70" ht="15" customHeight="1" s="52">
      <c r="A70" s="61" t="n"/>
      <c r="B70" s="75" t="n"/>
      <c r="C70" s="63" t="n"/>
      <c r="D70" s="61" t="n"/>
      <c r="E70" s="61" t="n"/>
      <c r="F70" s="61" t="n"/>
      <c r="G70" s="62" t="n"/>
      <c r="H70" s="61" t="n"/>
      <c r="I70" s="61" t="n"/>
      <c r="J70" s="75" t="n"/>
    </row>
    <row r="71" ht="15" customHeight="1" s="52">
      <c r="A71" s="56" t="n"/>
      <c r="B71" s="74" t="n"/>
      <c r="C71" s="58" t="n"/>
      <c r="D71" s="56" t="n"/>
      <c r="E71" s="56" t="n"/>
      <c r="F71" s="56" t="n"/>
      <c r="G71" s="57" t="n"/>
      <c r="H71" s="56" t="n"/>
      <c r="I71" s="56" t="n"/>
      <c r="J71" s="74" t="n"/>
    </row>
    <row r="72" ht="15" customHeight="1" s="52">
      <c r="A72" s="61" t="n"/>
      <c r="B72" s="75" t="n"/>
      <c r="C72" s="63" t="n"/>
      <c r="D72" s="61" t="n"/>
      <c r="E72" s="61" t="n"/>
      <c r="F72" s="61" t="n"/>
      <c r="G72" s="62" t="n"/>
      <c r="H72" s="61" t="n"/>
      <c r="I72" s="61" t="n"/>
      <c r="J72" s="75" t="n"/>
    </row>
    <row r="73" ht="15" customHeight="1" s="52">
      <c r="A73" s="56" t="n"/>
      <c r="B73" s="74" t="n"/>
      <c r="C73" s="58" t="n"/>
      <c r="D73" s="56" t="n"/>
      <c r="E73" s="56" t="n"/>
      <c r="F73" s="56" t="n"/>
      <c r="G73" s="57" t="n"/>
      <c r="H73" s="56" t="n"/>
      <c r="I73" s="56" t="n"/>
      <c r="J73" s="74" t="n"/>
    </row>
    <row r="74" ht="15" customHeight="1" s="52">
      <c r="A74" s="61" t="n"/>
      <c r="B74" s="75" t="n"/>
      <c r="C74" s="63" t="n"/>
      <c r="D74" s="61" t="n"/>
      <c r="E74" s="61" t="n"/>
      <c r="F74" s="61" t="n"/>
      <c r="G74" s="62" t="n"/>
      <c r="H74" s="61" t="n"/>
      <c r="I74" s="61" t="n"/>
      <c r="J74" s="75" t="n"/>
    </row>
    <row r="75" ht="15" customHeight="1" s="52">
      <c r="A75" s="56" t="n"/>
      <c r="B75" s="74" t="n"/>
      <c r="C75" s="58" t="n"/>
      <c r="D75" s="56" t="n"/>
      <c r="E75" s="56" t="n"/>
      <c r="F75" s="56" t="n"/>
      <c r="G75" s="57" t="n"/>
      <c r="H75" s="56" t="n"/>
      <c r="I75" s="56" t="n"/>
      <c r="J75" s="74" t="n"/>
    </row>
    <row r="76" ht="15" customHeight="1" s="52">
      <c r="A76" s="61" t="n"/>
      <c r="B76" s="75" t="n"/>
      <c r="C76" s="63" t="n"/>
      <c r="D76" s="61" t="n"/>
      <c r="E76" s="61" t="n"/>
      <c r="F76" s="61" t="n"/>
      <c r="G76" s="62" t="n"/>
      <c r="H76" s="61" t="n"/>
      <c r="I76" s="61" t="n"/>
      <c r="J76" s="75" t="n"/>
    </row>
    <row r="77" ht="15" customHeight="1" s="52">
      <c r="A77" s="56" t="n"/>
      <c r="B77" s="74" t="n"/>
      <c r="C77" s="58" t="n"/>
      <c r="D77" s="56" t="n"/>
      <c r="E77" s="56" t="n"/>
      <c r="F77" s="56" t="n"/>
      <c r="G77" s="57" t="n"/>
      <c r="H77" s="56" t="n"/>
      <c r="I77" s="56" t="n"/>
      <c r="J77" s="74" t="n"/>
    </row>
    <row r="78" ht="15" customHeight="1" s="52">
      <c r="A78" s="61" t="n"/>
      <c r="B78" s="75" t="n"/>
      <c r="C78" s="63" t="n"/>
      <c r="D78" s="61" t="n"/>
      <c r="E78" s="61" t="n"/>
      <c r="F78" s="61" t="n"/>
      <c r="G78" s="62" t="n"/>
      <c r="H78" s="61" t="n"/>
      <c r="I78" s="61" t="n"/>
      <c r="J78" s="75" t="n"/>
    </row>
    <row r="79" ht="15" customHeight="1" s="52">
      <c r="A79" s="56" t="n"/>
      <c r="B79" s="74" t="n"/>
      <c r="C79" s="58" t="n"/>
      <c r="D79" s="56" t="n"/>
      <c r="E79" s="56" t="n"/>
      <c r="F79" s="56" t="n"/>
      <c r="G79" s="57" t="n"/>
      <c r="H79" s="56" t="n"/>
      <c r="I79" s="56" t="n"/>
      <c r="J79" s="74" t="n"/>
    </row>
    <row r="80" ht="15" customHeight="1" s="52">
      <c r="A80" s="61" t="n"/>
      <c r="B80" s="75" t="n"/>
      <c r="C80" s="63" t="n"/>
      <c r="D80" s="61" t="n"/>
      <c r="E80" s="61" t="n"/>
      <c r="F80" s="61" t="n"/>
      <c r="G80" s="62" t="n"/>
      <c r="H80" s="61" t="n"/>
      <c r="I80" s="61" t="n"/>
      <c r="J80" s="75" t="n"/>
    </row>
    <row r="81" ht="15" customHeight="1" s="52">
      <c r="A81" s="56" t="n"/>
      <c r="B81" s="74" t="n"/>
      <c r="C81" s="58" t="n"/>
      <c r="D81" s="56" t="n"/>
      <c r="E81" s="56" t="n"/>
      <c r="F81" s="56" t="n"/>
      <c r="G81" s="57" t="n"/>
      <c r="H81" s="56" t="n"/>
      <c r="I81" s="56" t="n"/>
      <c r="J81" s="74" t="n"/>
    </row>
    <row r="82" ht="15" customHeight="1" s="52">
      <c r="A82" s="61" t="n"/>
      <c r="B82" s="75" t="n"/>
      <c r="C82" s="63" t="n"/>
      <c r="D82" s="61" t="n"/>
      <c r="E82" s="61" t="n"/>
      <c r="F82" s="61" t="n"/>
      <c r="G82" s="62" t="n"/>
      <c r="H82" s="61" t="n"/>
      <c r="I82" s="61" t="n"/>
      <c r="J82" s="75" t="n"/>
    </row>
    <row r="83" ht="15" customHeight="1" s="52">
      <c r="A83" s="56" t="n"/>
      <c r="B83" s="74" t="n"/>
      <c r="C83" s="58" t="n"/>
      <c r="D83" s="56" t="n"/>
      <c r="E83" s="56" t="n"/>
      <c r="F83" s="56" t="n"/>
      <c r="G83" s="57" t="n"/>
      <c r="H83" s="56" t="n"/>
      <c r="I83" s="56" t="n"/>
      <c r="J83" s="74" t="n"/>
    </row>
    <row r="84" ht="15" customHeight="1" s="52">
      <c r="A84" s="61" t="n"/>
      <c r="B84" s="75" t="n"/>
      <c r="C84" s="63" t="n"/>
      <c r="D84" s="61" t="n"/>
      <c r="E84" s="61" t="n"/>
      <c r="F84" s="61" t="n"/>
      <c r="G84" s="62" t="n"/>
      <c r="H84" s="61" t="n"/>
      <c r="I84" s="61" t="n"/>
      <c r="J84" s="75" t="n"/>
    </row>
    <row r="85" ht="15" customHeight="1" s="52">
      <c r="A85" s="56" t="n"/>
      <c r="B85" s="74" t="n"/>
      <c r="C85" s="58" t="n"/>
      <c r="D85" s="56" t="n"/>
      <c r="E85" s="56" t="n"/>
      <c r="F85" s="56" t="n"/>
      <c r="G85" s="57" t="n"/>
      <c r="H85" s="56" t="n"/>
      <c r="I85" s="56" t="n"/>
      <c r="J85" s="74" t="n"/>
    </row>
    <row r="86" ht="15" customHeight="1" s="52">
      <c r="A86" s="61" t="n"/>
      <c r="B86" s="75" t="n"/>
      <c r="C86" s="63" t="n"/>
      <c r="D86" s="61" t="n"/>
      <c r="E86" s="61" t="n"/>
      <c r="F86" s="61" t="n"/>
      <c r="G86" s="62" t="n"/>
      <c r="H86" s="61" t="n"/>
      <c r="I86" s="61" t="n"/>
      <c r="J86" s="75" t="n"/>
    </row>
    <row r="87" ht="15" customHeight="1" s="52">
      <c r="A87" s="56" t="n"/>
      <c r="B87" s="74" t="n"/>
      <c r="C87" s="58" t="n"/>
      <c r="D87" s="56" t="n"/>
      <c r="E87" s="56" t="n"/>
      <c r="F87" s="56" t="n"/>
      <c r="G87" s="57" t="n"/>
      <c r="H87" s="56" t="n"/>
      <c r="I87" s="56" t="n"/>
      <c r="J87" s="74" t="n"/>
    </row>
    <row r="88" ht="15" customHeight="1" s="52">
      <c r="A88" s="61" t="n"/>
      <c r="B88" s="75" t="n"/>
      <c r="C88" s="63" t="n"/>
      <c r="D88" s="61" t="n"/>
      <c r="E88" s="61" t="n"/>
      <c r="F88" s="61" t="n"/>
      <c r="G88" s="62" t="n"/>
      <c r="H88" s="61" t="n"/>
      <c r="I88" s="61" t="n"/>
      <c r="J88" s="75" t="n"/>
    </row>
    <row r="89" ht="15" customHeight="1" s="52">
      <c r="A89" s="56" t="n"/>
      <c r="B89" s="74" t="n"/>
      <c r="C89" s="58" t="n"/>
      <c r="D89" s="56" t="n"/>
      <c r="E89" s="56" t="n"/>
      <c r="F89" s="56" t="n"/>
      <c r="G89" s="57" t="n"/>
      <c r="H89" s="56" t="n"/>
      <c r="I89" s="56" t="n"/>
      <c r="J89" s="74" t="n"/>
    </row>
    <row r="90" ht="15" customHeight="1" s="52">
      <c r="A90" s="61" t="n"/>
      <c r="B90" s="75" t="n"/>
      <c r="C90" s="63" t="n"/>
      <c r="D90" s="61" t="n"/>
      <c r="E90" s="61" t="n"/>
      <c r="F90" s="61" t="n"/>
      <c r="G90" s="62" t="n"/>
      <c r="H90" s="61" t="n"/>
      <c r="I90" s="61" t="n"/>
      <c r="J90" s="75" t="n"/>
    </row>
    <row r="91" ht="15" customHeight="1" s="52">
      <c r="A91" s="56" t="n"/>
      <c r="B91" s="74" t="n"/>
      <c r="C91" s="58" t="n"/>
      <c r="D91" s="56" t="n"/>
      <c r="E91" s="56" t="n"/>
      <c r="F91" s="56" t="n"/>
      <c r="G91" s="57" t="n"/>
      <c r="H91" s="56" t="n"/>
      <c r="I91" s="56" t="n"/>
      <c r="J91" s="74" t="n"/>
    </row>
    <row r="92" ht="15" customHeight="1" s="52">
      <c r="A92" s="61" t="n"/>
      <c r="B92" s="75" t="n"/>
      <c r="C92" s="63" t="n"/>
      <c r="D92" s="61" t="n"/>
      <c r="E92" s="61" t="n"/>
      <c r="F92" s="61" t="n"/>
      <c r="G92" s="62" t="n"/>
      <c r="H92" s="61" t="n"/>
      <c r="I92" s="61" t="n"/>
      <c r="J92" s="75" t="n"/>
    </row>
    <row r="93" ht="15" customHeight="1" s="52">
      <c r="A93" s="56" t="n"/>
      <c r="B93" s="74" t="n"/>
      <c r="C93" s="58" t="n"/>
      <c r="D93" s="56" t="n"/>
      <c r="E93" s="56" t="n"/>
      <c r="F93" s="56" t="n"/>
      <c r="G93" s="57" t="n"/>
      <c r="H93" s="56" t="n"/>
      <c r="I93" s="56" t="n"/>
      <c r="J93" s="74" t="n"/>
    </row>
    <row r="94" ht="15" customHeight="1" s="52">
      <c r="A94" s="61" t="n"/>
      <c r="B94" s="75" t="n"/>
      <c r="C94" s="63" t="n"/>
      <c r="D94" s="61" t="n"/>
      <c r="E94" s="61" t="n"/>
      <c r="F94" s="61" t="n"/>
      <c r="G94" s="62" t="n"/>
      <c r="H94" s="61" t="n"/>
      <c r="I94" s="61" t="n"/>
      <c r="J94" s="75" t="n"/>
    </row>
    <row r="95" ht="15" customHeight="1" s="52">
      <c r="A95" s="56" t="n"/>
      <c r="B95" s="74" t="n"/>
      <c r="C95" s="58" t="n"/>
      <c r="D95" s="56" t="n"/>
      <c r="E95" s="56" t="n"/>
      <c r="F95" s="56" t="n"/>
      <c r="G95" s="57" t="n"/>
      <c r="H95" s="56" t="n"/>
      <c r="I95" s="56" t="n"/>
      <c r="J95" s="74" t="n"/>
    </row>
    <row r="96" ht="15" customHeight="1" s="52">
      <c r="A96" s="61" t="n"/>
      <c r="B96" s="75" t="n"/>
      <c r="C96" s="63" t="n"/>
      <c r="D96" s="61" t="n"/>
      <c r="E96" s="61" t="n"/>
      <c r="F96" s="61" t="n"/>
      <c r="G96" s="62" t="n"/>
      <c r="H96" s="61" t="n"/>
      <c r="I96" s="61" t="n"/>
      <c r="J96" s="75" t="n"/>
    </row>
    <row r="97" ht="15" customHeight="1" s="52">
      <c r="A97" s="56" t="n"/>
      <c r="B97" s="74" t="n"/>
      <c r="C97" s="58" t="n"/>
      <c r="D97" s="56" t="n"/>
      <c r="E97" s="56" t="n"/>
      <c r="F97" s="56" t="n"/>
      <c r="G97" s="57" t="n"/>
      <c r="H97" s="56" t="n"/>
      <c r="I97" s="56" t="n"/>
      <c r="J97" s="74" t="n"/>
    </row>
    <row r="98" ht="15" customHeight="1" s="52">
      <c r="A98" s="61" t="n"/>
      <c r="B98" s="75" t="n"/>
      <c r="C98" s="63" t="n"/>
      <c r="D98" s="61" t="n"/>
      <c r="E98" s="61" t="n"/>
      <c r="F98" s="61" t="n"/>
      <c r="G98" s="62" t="n"/>
      <c r="H98" s="61" t="n"/>
      <c r="I98" s="61" t="n"/>
      <c r="J98" s="75" t="n"/>
    </row>
    <row r="99" ht="15" customHeight="1" s="52">
      <c r="A99" s="56" t="n"/>
      <c r="B99" s="74" t="n"/>
      <c r="C99" s="58" t="n"/>
      <c r="D99" s="56" t="n"/>
      <c r="E99" s="56" t="n"/>
      <c r="F99" s="56" t="n"/>
      <c r="G99" s="57" t="n"/>
      <c r="H99" s="56" t="n"/>
      <c r="I99" s="56" t="n"/>
      <c r="J99" s="74" t="n"/>
    </row>
    <row r="100" ht="15" customHeight="1" s="52">
      <c r="A100" s="61" t="n"/>
      <c r="B100" s="75" t="n"/>
      <c r="C100" s="63" t="n"/>
      <c r="D100" s="61" t="n"/>
      <c r="E100" s="61" t="n"/>
      <c r="F100" s="61" t="n"/>
      <c r="G100" s="62" t="n"/>
      <c r="H100" s="61" t="n"/>
      <c r="I100" s="61" t="n"/>
      <c r="J100" s="75" t="n"/>
    </row>
    <row r="101" ht="15" customHeight="1" s="52">
      <c r="A101" s="56" t="n"/>
      <c r="B101" s="74" t="n"/>
      <c r="C101" s="58" t="n"/>
      <c r="D101" s="56" t="n"/>
      <c r="E101" s="56" t="n"/>
      <c r="F101" s="56" t="n"/>
      <c r="G101" s="57" t="n"/>
      <c r="H101" s="56" t="n"/>
      <c r="I101" s="56" t="n"/>
      <c r="J101" s="74" t="n"/>
    </row>
    <row r="102" ht="15" customHeight="1" s="52">
      <c r="A102" s="61" t="n"/>
      <c r="B102" s="75" t="n"/>
      <c r="C102" s="63" t="n"/>
      <c r="D102" s="61" t="n"/>
      <c r="E102" s="61" t="n"/>
      <c r="F102" s="61" t="n"/>
      <c r="G102" s="62" t="n"/>
      <c r="H102" s="61" t="n"/>
      <c r="I102" s="61" t="n"/>
      <c r="J102" s="75" t="n"/>
    </row>
    <row r="103" ht="15" customHeight="1" s="52">
      <c r="A103" s="56" t="n"/>
      <c r="B103" s="74" t="n"/>
      <c r="C103" s="58" t="n"/>
      <c r="D103" s="56" t="n"/>
      <c r="E103" s="56" t="n"/>
      <c r="F103" s="56" t="n"/>
      <c r="G103" s="57" t="n"/>
      <c r="H103" s="56" t="n"/>
      <c r="I103" s="56" t="n"/>
      <c r="J103" s="74" t="n"/>
    </row>
    <row r="104" ht="15" customHeight="1" s="52">
      <c r="A104" s="61" t="n"/>
      <c r="B104" s="75" t="n"/>
      <c r="C104" s="63" t="n"/>
      <c r="D104" s="61" t="n"/>
      <c r="E104" s="61" t="n"/>
      <c r="F104" s="61" t="n"/>
      <c r="G104" s="62" t="n"/>
      <c r="H104" s="61" t="n"/>
      <c r="I104" s="61" t="n"/>
      <c r="J104" s="75" t="n"/>
    </row>
    <row r="105" ht="15" customHeight="1" s="52">
      <c r="A105" s="56" t="n"/>
      <c r="B105" s="74" t="n"/>
      <c r="C105" s="58" t="n"/>
      <c r="D105" s="56" t="n"/>
      <c r="E105" s="56" t="n"/>
      <c r="F105" s="56" t="n"/>
      <c r="G105" s="57" t="n"/>
      <c r="H105" s="56" t="n"/>
      <c r="I105" s="56" t="n"/>
      <c r="J105" s="74" t="n"/>
    </row>
    <row r="106" ht="15" customHeight="1" s="52">
      <c r="A106" s="61" t="n"/>
      <c r="B106" s="75" t="n"/>
      <c r="C106" s="63" t="n"/>
      <c r="D106" s="61" t="n"/>
      <c r="E106" s="61" t="n"/>
      <c r="F106" s="61" t="n"/>
      <c r="G106" s="62" t="n"/>
      <c r="H106" s="61" t="n"/>
      <c r="I106" s="61" t="n"/>
      <c r="J106" s="75" t="n"/>
    </row>
    <row r="107" ht="15" customHeight="1" s="52">
      <c r="A107" s="56" t="n"/>
      <c r="B107" s="74" t="n"/>
      <c r="C107" s="58" t="n"/>
      <c r="D107" s="56" t="n"/>
      <c r="E107" s="56" t="n"/>
      <c r="F107" s="56" t="n"/>
      <c r="G107" s="57" t="n"/>
      <c r="H107" s="56" t="n"/>
      <c r="I107" s="56" t="n"/>
      <c r="J107" s="74" t="n"/>
    </row>
    <row r="108" ht="15" customHeight="1" s="52">
      <c r="A108" s="61" t="n"/>
      <c r="B108" s="75" t="n"/>
      <c r="C108" s="63" t="n"/>
      <c r="D108" s="61" t="n"/>
      <c r="E108" s="61" t="n"/>
      <c r="F108" s="61" t="n"/>
      <c r="G108" s="62" t="n"/>
      <c r="H108" s="61" t="n"/>
      <c r="I108" s="61" t="n"/>
      <c r="J108" s="75" t="n"/>
    </row>
    <row r="109" ht="15" customHeight="1" s="52">
      <c r="A109" s="56" t="n"/>
      <c r="B109" s="74" t="n"/>
      <c r="C109" s="58" t="n"/>
      <c r="D109" s="56" t="n"/>
      <c r="E109" s="56" t="n"/>
      <c r="F109" s="56" t="n"/>
      <c r="G109" s="57" t="n"/>
      <c r="H109" s="56" t="n"/>
      <c r="I109" s="56" t="n"/>
      <c r="J109" s="74" t="n"/>
    </row>
    <row r="110" ht="15" customHeight="1" s="52">
      <c r="A110" s="61" t="n"/>
      <c r="B110" s="75" t="n"/>
      <c r="C110" s="63" t="n"/>
      <c r="D110" s="61" t="n"/>
      <c r="E110" s="61" t="n"/>
      <c r="F110" s="61" t="n"/>
      <c r="G110" s="62" t="n"/>
      <c r="H110" s="61" t="n"/>
      <c r="I110" s="61" t="n"/>
      <c r="J110" s="75" t="n"/>
    </row>
    <row r="111" ht="15" customHeight="1" s="52">
      <c r="A111" s="56" t="n"/>
      <c r="B111" s="74" t="n"/>
      <c r="C111" s="58" t="n"/>
      <c r="D111" s="56" t="n"/>
      <c r="E111" s="56" t="n"/>
      <c r="F111" s="56" t="n"/>
      <c r="G111" s="57" t="n"/>
      <c r="H111" s="56" t="n"/>
      <c r="I111" s="56" t="n"/>
      <c r="J111" s="74" t="n"/>
    </row>
    <row r="112" ht="15" customHeight="1" s="52">
      <c r="A112" s="61" t="n"/>
      <c r="B112" s="75" t="n"/>
      <c r="C112" s="63" t="n"/>
      <c r="D112" s="61" t="n"/>
      <c r="E112" s="61" t="n"/>
      <c r="F112" s="61" t="n"/>
      <c r="G112" s="62" t="n"/>
      <c r="H112" s="61" t="n"/>
      <c r="I112" s="61" t="n"/>
      <c r="J112" s="75" t="n"/>
    </row>
    <row r="113" ht="15" customHeight="1" s="52">
      <c r="A113" s="56" t="n"/>
      <c r="B113" s="74" t="n"/>
      <c r="C113" s="58" t="n"/>
      <c r="D113" s="56" t="n"/>
      <c r="E113" s="56" t="n"/>
      <c r="F113" s="56" t="n"/>
      <c r="G113" s="57" t="n"/>
      <c r="H113" s="56" t="n"/>
      <c r="I113" s="56" t="n"/>
      <c r="J113" s="74" t="n"/>
    </row>
    <row r="114" ht="15" customHeight="1" s="52">
      <c r="A114" s="61" t="n"/>
      <c r="B114" s="75" t="n"/>
      <c r="C114" s="63" t="n"/>
      <c r="D114" s="61" t="n"/>
      <c r="E114" s="61" t="n"/>
      <c r="F114" s="61" t="n"/>
      <c r="G114" s="62" t="n"/>
      <c r="H114" s="61" t="n"/>
      <c r="I114" s="61" t="n"/>
      <c r="J114" s="75" t="n"/>
    </row>
    <row r="115" ht="15" customHeight="1" s="52">
      <c r="A115" s="56" t="n"/>
      <c r="B115" s="74" t="n"/>
      <c r="C115" s="58" t="n"/>
      <c r="D115" s="56" t="n"/>
      <c r="E115" s="56" t="n"/>
      <c r="F115" s="56" t="n"/>
      <c r="G115" s="57" t="n"/>
      <c r="H115" s="56" t="n"/>
      <c r="I115" s="56" t="n"/>
      <c r="J115" s="74" t="n"/>
    </row>
    <row r="116" ht="15" customHeight="1" s="52">
      <c r="A116" s="61" t="n"/>
      <c r="B116" s="75" t="n"/>
      <c r="C116" s="63" t="n"/>
      <c r="D116" s="61" t="n"/>
      <c r="E116" s="61" t="n"/>
      <c r="F116" s="61" t="n"/>
      <c r="G116" s="62" t="n"/>
      <c r="H116" s="61" t="n"/>
      <c r="I116" s="61" t="n"/>
      <c r="J116" s="75" t="n"/>
    </row>
    <row r="117" ht="15" customHeight="1" s="52">
      <c r="A117" s="56" t="n"/>
      <c r="B117" s="74" t="n"/>
      <c r="C117" s="58" t="n"/>
      <c r="D117" s="56" t="n"/>
      <c r="E117" s="56" t="n"/>
      <c r="F117" s="56" t="n"/>
      <c r="G117" s="57" t="n"/>
      <c r="H117" s="56" t="n"/>
      <c r="I117" s="56" t="n"/>
      <c r="J117" s="74" t="n"/>
    </row>
    <row r="118" ht="15" customHeight="1" s="52">
      <c r="A118" s="61" t="n"/>
      <c r="B118" s="75" t="n"/>
      <c r="C118" s="63" t="n"/>
      <c r="D118" s="61" t="n"/>
      <c r="E118" s="61" t="n"/>
      <c r="F118" s="61" t="n"/>
      <c r="G118" s="62" t="n"/>
      <c r="H118" s="61" t="n"/>
      <c r="I118" s="61" t="n"/>
      <c r="J118" s="75" t="n"/>
    </row>
    <row r="119" ht="15" customHeight="1" s="52">
      <c r="A119" s="56" t="n"/>
      <c r="B119" s="74" t="n"/>
      <c r="C119" s="58" t="n"/>
      <c r="D119" s="56" t="n"/>
      <c r="E119" s="56" t="n"/>
      <c r="F119" s="56" t="n"/>
      <c r="G119" s="57" t="n"/>
      <c r="H119" s="56" t="n"/>
      <c r="I119" s="56" t="n"/>
      <c r="J119" s="74" t="n"/>
    </row>
    <row r="120" ht="15" customHeight="1" s="52">
      <c r="A120" s="61" t="n"/>
      <c r="B120" s="75" t="n"/>
      <c r="C120" s="63" t="n"/>
      <c r="D120" s="61" t="n"/>
      <c r="E120" s="61" t="n"/>
      <c r="F120" s="61" t="n"/>
      <c r="G120" s="62" t="n"/>
      <c r="H120" s="61" t="n"/>
      <c r="I120" s="61" t="n"/>
      <c r="J120" s="75" t="n"/>
    </row>
    <row r="121" ht="15" customHeight="1" s="52">
      <c r="A121" s="56" t="n"/>
      <c r="B121" s="74" t="n"/>
      <c r="C121" s="58" t="n"/>
      <c r="D121" s="56" t="n"/>
      <c r="E121" s="56" t="n"/>
      <c r="F121" s="56" t="n"/>
      <c r="G121" s="57" t="n"/>
      <c r="H121" s="56" t="n"/>
      <c r="I121" s="56" t="n"/>
      <c r="J121" s="74" t="n"/>
    </row>
    <row r="122" ht="15" customHeight="1" s="52">
      <c r="A122" s="61" t="n"/>
      <c r="B122" s="75" t="n"/>
      <c r="C122" s="63" t="n"/>
      <c r="D122" s="61" t="n"/>
      <c r="E122" s="61" t="n"/>
      <c r="F122" s="61" t="n"/>
      <c r="G122" s="62" t="n"/>
      <c r="H122" s="61" t="n"/>
      <c r="I122" s="61" t="n"/>
      <c r="J122" s="75" t="n"/>
    </row>
    <row r="123" ht="15" customHeight="1" s="52">
      <c r="A123" s="56" t="n"/>
      <c r="B123" s="74" t="n"/>
      <c r="C123" s="58" t="n"/>
      <c r="D123" s="56" t="n"/>
      <c r="E123" s="56" t="n"/>
      <c r="F123" s="56" t="n"/>
      <c r="G123" s="57" t="n"/>
      <c r="H123" s="56" t="n"/>
      <c r="I123" s="56" t="n"/>
      <c r="J123" s="74" t="n"/>
    </row>
    <row r="124" ht="15" customHeight="1" s="52">
      <c r="A124" s="61" t="n"/>
      <c r="B124" s="75" t="n"/>
      <c r="C124" s="63" t="n"/>
      <c r="D124" s="61" t="n"/>
      <c r="E124" s="61" t="n"/>
      <c r="F124" s="61" t="n"/>
      <c r="G124" s="62" t="n"/>
      <c r="H124" s="61" t="n"/>
      <c r="I124" s="61" t="n"/>
      <c r="J124" s="75" t="n"/>
    </row>
    <row r="125" ht="15" customHeight="1" s="52">
      <c r="A125" s="56" t="n"/>
      <c r="B125" s="74" t="n"/>
      <c r="C125" s="58" t="n"/>
      <c r="D125" s="56" t="n"/>
      <c r="E125" s="56" t="n"/>
      <c r="F125" s="56" t="n"/>
      <c r="G125" s="57" t="n"/>
      <c r="H125" s="56" t="n"/>
      <c r="I125" s="56" t="n"/>
      <c r="J125" s="74" t="n"/>
    </row>
    <row r="126" ht="15" customHeight="1" s="52">
      <c r="A126" s="61" t="n"/>
      <c r="B126" s="75" t="n"/>
      <c r="C126" s="63" t="n"/>
      <c r="D126" s="61" t="n"/>
      <c r="E126" s="61" t="n"/>
      <c r="F126" s="61" t="n"/>
      <c r="G126" s="62" t="n"/>
      <c r="H126" s="61" t="n"/>
      <c r="I126" s="61" t="n"/>
      <c r="J126" s="75" t="n"/>
    </row>
    <row r="127" ht="15" customHeight="1" s="52">
      <c r="A127" s="56" t="n"/>
      <c r="B127" s="74" t="n"/>
      <c r="C127" s="58" t="n"/>
      <c r="D127" s="56" t="n"/>
      <c r="E127" s="56" t="n"/>
      <c r="F127" s="56" t="n"/>
      <c r="G127" s="57" t="n"/>
      <c r="H127" s="56" t="n"/>
      <c r="I127" s="56" t="n"/>
      <c r="J127" s="74" t="n"/>
    </row>
    <row r="128" ht="15" customHeight="1" s="52">
      <c r="A128" s="61" t="n"/>
      <c r="B128" s="75" t="n"/>
      <c r="C128" s="63" t="n"/>
      <c r="D128" s="61" t="n"/>
      <c r="E128" s="61" t="n"/>
      <c r="F128" s="61" t="n"/>
      <c r="G128" s="62" t="n"/>
      <c r="H128" s="61" t="n"/>
      <c r="I128" s="61" t="n"/>
      <c r="J128" s="75" t="n"/>
    </row>
    <row r="129" ht="15" customHeight="1" s="52">
      <c r="A129" s="56" t="n"/>
      <c r="B129" s="74" t="n"/>
      <c r="C129" s="58" t="n"/>
      <c r="D129" s="56" t="n"/>
      <c r="E129" s="56" t="n"/>
      <c r="F129" s="56" t="n"/>
      <c r="G129" s="57" t="n"/>
      <c r="H129" s="56" t="n"/>
      <c r="I129" s="56" t="n"/>
      <c r="J129" s="74" t="n"/>
    </row>
    <row r="130" ht="15" customHeight="1" s="52">
      <c r="A130" s="61" t="n"/>
      <c r="B130" s="75" t="n"/>
      <c r="C130" s="63" t="n"/>
      <c r="D130" s="61" t="n"/>
      <c r="E130" s="61" t="n"/>
      <c r="F130" s="61" t="n"/>
      <c r="G130" s="62" t="n"/>
      <c r="H130" s="61" t="n"/>
      <c r="I130" s="61" t="n"/>
      <c r="J130" s="75" t="n"/>
    </row>
    <row r="131" ht="15" customHeight="1" s="52">
      <c r="A131" s="56" t="n"/>
      <c r="B131" s="74" t="n"/>
      <c r="C131" s="58" t="n"/>
      <c r="D131" s="56" t="n"/>
      <c r="E131" s="56" t="n"/>
      <c r="F131" s="56" t="n"/>
      <c r="G131" s="57" t="n"/>
      <c r="H131" s="56" t="n"/>
      <c r="I131" s="56" t="n"/>
      <c r="J131" s="74" t="n"/>
    </row>
    <row r="132" ht="15" customHeight="1" s="52">
      <c r="A132" s="61" t="n"/>
      <c r="B132" s="75" t="n"/>
      <c r="C132" s="63" t="n"/>
      <c r="D132" s="61" t="n"/>
      <c r="E132" s="61" t="n"/>
      <c r="F132" s="61" t="n"/>
      <c r="G132" s="62" t="n"/>
      <c r="H132" s="61" t="n"/>
      <c r="I132" s="61" t="n"/>
      <c r="J132" s="75" t="n"/>
    </row>
    <row r="133" ht="15" customHeight="1" s="52">
      <c r="A133" s="56" t="n"/>
      <c r="B133" s="74" t="n"/>
      <c r="C133" s="58" t="n"/>
      <c r="D133" s="56" t="n"/>
      <c r="E133" s="56" t="n"/>
      <c r="F133" s="56" t="n"/>
      <c r="G133" s="57" t="n"/>
      <c r="H133" s="56" t="n"/>
      <c r="I133" s="56" t="n"/>
      <c r="J133" s="74" t="n"/>
    </row>
    <row r="134" ht="15" customHeight="1" s="52">
      <c r="A134" s="61" t="n"/>
      <c r="B134" s="75" t="n"/>
      <c r="C134" s="63" t="n"/>
      <c r="D134" s="61" t="n"/>
      <c r="E134" s="61" t="n"/>
      <c r="F134" s="61" t="n"/>
      <c r="G134" s="62" t="n"/>
      <c r="H134" s="61" t="n"/>
      <c r="I134" s="61" t="n"/>
      <c r="J134" s="75" t="n"/>
    </row>
    <row r="135" ht="15" customHeight="1" s="52">
      <c r="A135" s="56" t="n"/>
      <c r="B135" s="74" t="n"/>
      <c r="C135" s="58" t="n"/>
      <c r="D135" s="56" t="n"/>
      <c r="E135" s="56" t="n"/>
      <c r="F135" s="56" t="n"/>
      <c r="G135" s="57" t="n"/>
      <c r="H135" s="56" t="n"/>
      <c r="I135" s="56" t="n"/>
      <c r="J135" s="74" t="n"/>
    </row>
    <row r="136" ht="15" customHeight="1" s="52">
      <c r="A136" s="61" t="n"/>
      <c r="B136" s="75" t="n"/>
      <c r="C136" s="63" t="n"/>
      <c r="D136" s="61" t="n"/>
      <c r="E136" s="61" t="n"/>
      <c r="F136" s="61" t="n"/>
      <c r="G136" s="62" t="n"/>
      <c r="H136" s="61" t="n"/>
      <c r="I136" s="61" t="n"/>
      <c r="J136" s="75" t="n"/>
    </row>
    <row r="137" ht="15" customHeight="1" s="52">
      <c r="A137" s="56" t="n"/>
      <c r="B137" s="74" t="n"/>
      <c r="C137" s="58" t="n"/>
      <c r="D137" s="56" t="n"/>
      <c r="E137" s="56" t="n"/>
      <c r="F137" s="56" t="n"/>
      <c r="G137" s="57" t="n"/>
      <c r="H137" s="56" t="n"/>
      <c r="I137" s="56" t="n"/>
      <c r="J137" s="74" t="n"/>
    </row>
    <row r="138" ht="15" customHeight="1" s="52">
      <c r="A138" s="61" t="n"/>
      <c r="B138" s="75" t="n"/>
      <c r="C138" s="63" t="n"/>
      <c r="D138" s="61" t="n"/>
      <c r="E138" s="61" t="n"/>
      <c r="F138" s="61" t="n"/>
      <c r="G138" s="62" t="n"/>
      <c r="H138" s="61" t="n"/>
      <c r="I138" s="61" t="n"/>
      <c r="J138" s="75" t="n"/>
    </row>
    <row r="139" ht="15" customHeight="1" s="52">
      <c r="A139" s="56" t="n"/>
      <c r="B139" s="74" t="n"/>
      <c r="C139" s="58" t="n"/>
      <c r="D139" s="56" t="n"/>
      <c r="E139" s="56" t="n"/>
      <c r="F139" s="56" t="n"/>
      <c r="G139" s="57" t="n"/>
      <c r="H139" s="56" t="n"/>
      <c r="I139" s="56" t="n"/>
      <c r="J139" s="74" t="n"/>
    </row>
    <row r="140" ht="15" customHeight="1" s="52">
      <c r="A140" s="61" t="n"/>
      <c r="B140" s="75" t="n"/>
      <c r="C140" s="63" t="n"/>
      <c r="D140" s="61" t="n"/>
      <c r="E140" s="61" t="n"/>
      <c r="F140" s="61" t="n"/>
      <c r="G140" s="62" t="n"/>
      <c r="H140" s="61" t="n"/>
      <c r="I140" s="61" t="n"/>
      <c r="J140" s="75" t="n"/>
    </row>
    <row r="141" ht="15" customHeight="1" s="52">
      <c r="A141" s="56" t="n"/>
      <c r="B141" s="74" t="n"/>
      <c r="C141" s="58" t="n"/>
      <c r="D141" s="56" t="n"/>
      <c r="E141" s="56" t="n"/>
      <c r="F141" s="56" t="n"/>
      <c r="G141" s="57" t="n"/>
      <c r="H141" s="56" t="n"/>
      <c r="I141" s="56" t="n"/>
      <c r="J141" s="74" t="n"/>
    </row>
    <row r="142" ht="15" customHeight="1" s="52">
      <c r="A142" s="61" t="n"/>
      <c r="B142" s="75" t="n"/>
      <c r="C142" s="63" t="n"/>
      <c r="D142" s="61" t="n"/>
      <c r="E142" s="61" t="n"/>
      <c r="F142" s="61" t="n"/>
      <c r="G142" s="62" t="n"/>
      <c r="H142" s="61" t="n"/>
      <c r="I142" s="61" t="n"/>
      <c r="J142" s="75" t="n"/>
    </row>
    <row r="143" ht="15" customHeight="1" s="52">
      <c r="A143" s="56" t="n"/>
      <c r="B143" s="74" t="n"/>
      <c r="C143" s="58" t="n"/>
      <c r="D143" s="56" t="n"/>
      <c r="E143" s="56" t="n"/>
      <c r="F143" s="56" t="n"/>
      <c r="G143" s="57" t="n"/>
      <c r="H143" s="56" t="n"/>
      <c r="I143" s="56" t="n"/>
      <c r="J143" s="74" t="n"/>
    </row>
    <row r="144" ht="15" customHeight="1" s="52">
      <c r="A144" s="61" t="n"/>
      <c r="B144" s="75" t="n"/>
      <c r="C144" s="63" t="n"/>
      <c r="D144" s="61" t="n"/>
      <c r="E144" s="61" t="n"/>
      <c r="F144" s="61" t="n"/>
      <c r="G144" s="62" t="n"/>
      <c r="H144" s="61" t="n"/>
      <c r="I144" s="61" t="n"/>
      <c r="J144" s="75" t="n"/>
    </row>
    <row r="145" ht="15" customHeight="1" s="52">
      <c r="A145" s="56" t="n"/>
      <c r="B145" s="74" t="n"/>
      <c r="C145" s="58" t="n"/>
      <c r="D145" s="56" t="n"/>
      <c r="E145" s="56" t="n"/>
      <c r="F145" s="56" t="n"/>
      <c r="G145" s="57" t="n"/>
      <c r="H145" s="56" t="n"/>
      <c r="I145" s="56" t="n"/>
      <c r="J145" s="74" t="n"/>
    </row>
    <row r="146" ht="15" customHeight="1" s="52">
      <c r="A146" s="61" t="n"/>
      <c r="B146" s="75" t="n"/>
      <c r="C146" s="63" t="n"/>
      <c r="D146" s="61" t="n"/>
      <c r="E146" s="61" t="n"/>
      <c r="F146" s="61" t="n"/>
      <c r="G146" s="62" t="n"/>
      <c r="H146" s="61" t="n"/>
      <c r="I146" s="61" t="n"/>
      <c r="J146" s="75" t="n"/>
    </row>
    <row r="147" ht="15" customHeight="1" s="52">
      <c r="A147" s="56" t="n"/>
      <c r="B147" s="74" t="n"/>
      <c r="C147" s="58" t="n"/>
      <c r="D147" s="56" t="n"/>
      <c r="E147" s="56" t="n"/>
      <c r="F147" s="56" t="n"/>
      <c r="G147" s="57" t="n"/>
      <c r="H147" s="56" t="n"/>
      <c r="I147" s="56" t="n"/>
      <c r="J147" s="74" t="n"/>
    </row>
    <row r="148" ht="15" customHeight="1" s="52">
      <c r="A148" s="61" t="n"/>
      <c r="B148" s="75" t="n"/>
      <c r="C148" s="63" t="n"/>
      <c r="D148" s="61" t="n"/>
      <c r="E148" s="61" t="n"/>
      <c r="F148" s="61" t="n"/>
      <c r="G148" s="62" t="n"/>
      <c r="H148" s="61" t="n"/>
      <c r="I148" s="61" t="n"/>
      <c r="J148" s="75" t="n"/>
    </row>
    <row r="149" ht="15" customHeight="1" s="52">
      <c r="A149" s="56" t="n"/>
      <c r="B149" s="74" t="n"/>
      <c r="C149" s="58" t="n"/>
      <c r="D149" s="56" t="n"/>
      <c r="E149" s="56" t="n"/>
      <c r="F149" s="56" t="n"/>
      <c r="G149" s="57" t="n"/>
      <c r="H149" s="56" t="n"/>
      <c r="I149" s="56" t="n"/>
      <c r="J149" s="74" t="n"/>
    </row>
    <row r="150" ht="15" customHeight="1" s="52">
      <c r="A150" s="61" t="n"/>
      <c r="B150" s="75" t="n"/>
      <c r="C150" s="63" t="n"/>
      <c r="D150" s="61" t="n"/>
      <c r="E150" s="61" t="n"/>
      <c r="F150" s="61" t="n"/>
      <c r="G150" s="62" t="n"/>
      <c r="H150" s="61" t="n"/>
      <c r="I150" s="61" t="n"/>
      <c r="J150" s="75" t="n"/>
    </row>
    <row r="151" ht="15" customHeight="1" s="52">
      <c r="A151" s="56" t="n"/>
      <c r="B151" s="74" t="n"/>
      <c r="C151" s="58" t="n"/>
      <c r="D151" s="56" t="n"/>
      <c r="E151" s="56" t="n"/>
      <c r="F151" s="56" t="n"/>
      <c r="G151" s="57" t="n"/>
      <c r="H151" s="56" t="n"/>
      <c r="I151" s="56" t="n"/>
      <c r="J151" s="74" t="n"/>
    </row>
    <row r="152" ht="15" customHeight="1" s="52">
      <c r="A152" s="61" t="n"/>
      <c r="B152" s="75" t="n"/>
      <c r="C152" s="63" t="n"/>
      <c r="D152" s="61" t="n"/>
      <c r="E152" s="61" t="n"/>
      <c r="F152" s="61" t="n"/>
      <c r="G152" s="62" t="n"/>
      <c r="H152" s="61" t="n"/>
      <c r="I152" s="61" t="n"/>
      <c r="J152" s="75" t="n"/>
    </row>
    <row r="153" ht="15" customHeight="1" s="52">
      <c r="A153" s="56" t="n"/>
      <c r="B153" s="74" t="n"/>
      <c r="C153" s="58" t="n"/>
      <c r="D153" s="56" t="n"/>
      <c r="E153" s="56" t="n"/>
      <c r="F153" s="56" t="n"/>
      <c r="G153" s="57" t="n"/>
      <c r="H153" s="56" t="n"/>
      <c r="I153" s="56" t="n"/>
      <c r="J153" s="74" t="n"/>
    </row>
    <row r="154" ht="15" customHeight="1" s="52">
      <c r="A154" s="61" t="n"/>
      <c r="B154" s="75" t="n"/>
      <c r="C154" s="63" t="n"/>
      <c r="D154" s="61" t="n"/>
      <c r="E154" s="61" t="n"/>
      <c r="F154" s="61" t="n"/>
      <c r="G154" s="62" t="n"/>
      <c r="H154" s="61" t="n"/>
      <c r="I154" s="61" t="n"/>
      <c r="J154" s="75" t="n"/>
    </row>
    <row r="155" ht="15" customHeight="1" s="52">
      <c r="A155" s="56" t="n"/>
      <c r="B155" s="74" t="n"/>
      <c r="C155" s="58" t="n"/>
      <c r="D155" s="56" t="n"/>
      <c r="E155" s="56" t="n"/>
      <c r="F155" s="56" t="n"/>
      <c r="G155" s="57" t="n"/>
      <c r="H155" s="56" t="n"/>
      <c r="I155" s="56" t="n"/>
      <c r="J155" s="74" t="n"/>
    </row>
    <row r="156" ht="15" customHeight="1" s="52">
      <c r="A156" s="61" t="n"/>
      <c r="B156" s="75" t="n"/>
      <c r="C156" s="63" t="n"/>
      <c r="D156" s="61" t="n"/>
      <c r="E156" s="61" t="n"/>
      <c r="F156" s="61" t="n"/>
      <c r="G156" s="62" t="n"/>
      <c r="H156" s="61" t="n"/>
      <c r="I156" s="61" t="n"/>
      <c r="J156" s="75" t="n"/>
    </row>
    <row r="157" ht="15" customHeight="1" s="52">
      <c r="A157" s="56" t="n"/>
      <c r="B157" s="74" t="n"/>
      <c r="C157" s="58" t="n"/>
      <c r="D157" s="56" t="n"/>
      <c r="E157" s="56" t="n"/>
      <c r="F157" s="56" t="n"/>
      <c r="G157" s="57" t="n"/>
      <c r="H157" s="56" t="n"/>
      <c r="I157" s="56" t="n"/>
      <c r="J157" s="74" t="n"/>
    </row>
    <row r="158" ht="15" customHeight="1" s="52">
      <c r="A158" s="61" t="n"/>
      <c r="B158" s="75" t="n"/>
      <c r="C158" s="63" t="n"/>
      <c r="D158" s="61" t="n"/>
      <c r="E158" s="61" t="n"/>
      <c r="F158" s="61" t="n"/>
      <c r="G158" s="62" t="n"/>
      <c r="H158" s="61" t="n"/>
      <c r="I158" s="61" t="n"/>
      <c r="J158" s="75" t="n"/>
    </row>
    <row r="159" ht="15" customHeight="1" s="52">
      <c r="A159" s="56" t="n"/>
      <c r="B159" s="74" t="n"/>
      <c r="C159" s="58" t="n"/>
      <c r="D159" s="56" t="n"/>
      <c r="E159" s="56" t="n"/>
      <c r="F159" s="56" t="n"/>
      <c r="G159" s="57" t="n"/>
      <c r="H159" s="56" t="n"/>
      <c r="I159" s="56" t="n"/>
      <c r="J159" s="74" t="n"/>
    </row>
    <row r="160" ht="15" customHeight="1" s="52">
      <c r="A160" s="61" t="n"/>
      <c r="B160" s="75" t="n"/>
      <c r="C160" s="63" t="n"/>
      <c r="D160" s="61" t="n"/>
      <c r="E160" s="61" t="n"/>
      <c r="F160" s="61" t="n"/>
      <c r="G160" s="62" t="n"/>
      <c r="H160" s="61" t="n"/>
      <c r="I160" s="61" t="n"/>
      <c r="J160" s="75" t="n"/>
    </row>
    <row r="161" ht="15" customHeight="1" s="52">
      <c r="A161" s="56" t="n"/>
      <c r="B161" s="74" t="n"/>
      <c r="C161" s="58" t="n"/>
      <c r="D161" s="56" t="n"/>
      <c r="E161" s="56" t="n"/>
      <c r="F161" s="56" t="n"/>
      <c r="G161" s="57" t="n"/>
      <c r="H161" s="56" t="n"/>
      <c r="I161" s="56" t="n"/>
      <c r="J161" s="74" t="n"/>
    </row>
    <row r="162" ht="15" customHeight="1" s="52">
      <c r="A162" s="61" t="n"/>
      <c r="B162" s="75" t="n"/>
      <c r="C162" s="63" t="n"/>
      <c r="D162" s="61" t="n"/>
      <c r="E162" s="61" t="n"/>
      <c r="F162" s="61" t="n"/>
      <c r="G162" s="62" t="n"/>
      <c r="H162" s="61" t="n"/>
      <c r="I162" s="61" t="n"/>
      <c r="J162" s="75" t="n"/>
    </row>
    <row r="163" ht="15" customHeight="1" s="52">
      <c r="A163" s="56" t="n"/>
      <c r="B163" s="74" t="n"/>
      <c r="C163" s="58" t="n"/>
      <c r="D163" s="56" t="n"/>
      <c r="E163" s="56" t="n"/>
      <c r="F163" s="56" t="n"/>
      <c r="G163" s="57" t="n"/>
      <c r="H163" s="56" t="n"/>
      <c r="I163" s="56" t="n"/>
      <c r="J163" s="74" t="n"/>
    </row>
    <row r="164" ht="15" customHeight="1" s="52">
      <c r="A164" s="61" t="n"/>
      <c r="B164" s="75" t="n"/>
      <c r="C164" s="63" t="n"/>
      <c r="D164" s="61" t="n"/>
      <c r="E164" s="61" t="n"/>
      <c r="F164" s="61" t="n"/>
      <c r="G164" s="62" t="n"/>
      <c r="H164" s="61" t="n"/>
      <c r="I164" s="61" t="n"/>
      <c r="J164" s="75" t="n"/>
    </row>
    <row r="165" ht="15" customHeight="1" s="52">
      <c r="A165" s="56" t="n"/>
      <c r="B165" s="74" t="n"/>
      <c r="C165" s="58" t="n"/>
      <c r="D165" s="56" t="n"/>
      <c r="E165" s="56" t="n"/>
      <c r="F165" s="56" t="n"/>
      <c r="G165" s="57" t="n"/>
      <c r="H165" s="56" t="n"/>
      <c r="I165" s="56" t="n"/>
      <c r="J165" s="74" t="n"/>
    </row>
    <row r="166" ht="15" customHeight="1" s="52">
      <c r="A166" s="61" t="n"/>
      <c r="B166" s="75" t="n"/>
      <c r="C166" s="63" t="n"/>
      <c r="D166" s="61" t="n"/>
      <c r="E166" s="61" t="n"/>
      <c r="F166" s="61" t="n"/>
      <c r="G166" s="62" t="n"/>
      <c r="H166" s="61" t="n"/>
      <c r="I166" s="61" t="n"/>
      <c r="J166" s="75" t="n"/>
    </row>
    <row r="167" ht="15" customHeight="1" s="52">
      <c r="A167" s="56" t="n"/>
      <c r="B167" s="74" t="n"/>
      <c r="C167" s="58" t="n"/>
      <c r="D167" s="56" t="n"/>
      <c r="E167" s="56" t="n"/>
      <c r="F167" s="56" t="n"/>
      <c r="G167" s="57" t="n"/>
      <c r="H167" s="56" t="n"/>
      <c r="I167" s="56" t="n"/>
      <c r="J167" s="74" t="n"/>
    </row>
    <row r="168" ht="15" customHeight="1" s="52">
      <c r="A168" s="61" t="n"/>
      <c r="B168" s="75" t="n"/>
      <c r="C168" s="63" t="n"/>
      <c r="D168" s="61" t="n"/>
      <c r="E168" s="61" t="n"/>
      <c r="F168" s="61" t="n"/>
      <c r="G168" s="62" t="n"/>
      <c r="H168" s="61" t="n"/>
      <c r="I168" s="61" t="n"/>
      <c r="J168" s="75" t="n"/>
    </row>
    <row r="169" ht="15" customHeight="1" s="52">
      <c r="A169" s="56" t="n"/>
      <c r="B169" s="74" t="n"/>
      <c r="C169" s="58" t="n"/>
      <c r="D169" s="56" t="n"/>
      <c r="E169" s="56" t="n"/>
      <c r="F169" s="56" t="n"/>
      <c r="G169" s="57" t="n"/>
      <c r="H169" s="56" t="n"/>
      <c r="I169" s="56" t="n"/>
      <c r="J169" s="74" t="n"/>
    </row>
    <row r="170" ht="15" customHeight="1" s="52">
      <c r="A170" s="61" t="n"/>
      <c r="B170" s="75" t="n"/>
      <c r="C170" s="63" t="n"/>
      <c r="D170" s="61" t="n"/>
      <c r="E170" s="61" t="n"/>
      <c r="F170" s="61" t="n"/>
      <c r="G170" s="62" t="n"/>
      <c r="H170" s="61" t="n"/>
      <c r="I170" s="61" t="n"/>
      <c r="J170" s="75" t="n"/>
    </row>
    <row r="171" ht="15" customHeight="1" s="52">
      <c r="A171" s="56" t="n"/>
      <c r="B171" s="74" t="n"/>
      <c r="C171" s="58" t="n"/>
      <c r="D171" s="56" t="n"/>
      <c r="E171" s="56" t="n"/>
      <c r="F171" s="56" t="n"/>
      <c r="G171" s="57" t="n"/>
      <c r="H171" s="56" t="n"/>
      <c r="I171" s="56" t="n"/>
      <c r="J171" s="74" t="n"/>
    </row>
    <row r="172" ht="15" customHeight="1" s="52">
      <c r="A172" s="61" t="n"/>
      <c r="B172" s="75" t="n"/>
      <c r="C172" s="63" t="n"/>
      <c r="D172" s="61" t="n"/>
      <c r="E172" s="61" t="n"/>
      <c r="F172" s="61" t="n"/>
      <c r="G172" s="62" t="n"/>
      <c r="H172" s="61" t="n"/>
      <c r="I172" s="61" t="n"/>
      <c r="J172" s="75" t="n"/>
    </row>
    <row r="173" ht="15" customHeight="1" s="52">
      <c r="A173" s="56" t="n"/>
      <c r="B173" s="74" t="n"/>
      <c r="C173" s="58" t="n"/>
      <c r="D173" s="56" t="n"/>
      <c r="E173" s="56" t="n"/>
      <c r="F173" s="56" t="n"/>
      <c r="G173" s="57" t="n"/>
      <c r="H173" s="56" t="n"/>
      <c r="I173" s="56" t="n"/>
      <c r="J173" s="74" t="n"/>
    </row>
    <row r="174" ht="15" customHeight="1" s="52">
      <c r="A174" s="61" t="n"/>
      <c r="B174" s="75" t="n"/>
      <c r="C174" s="63" t="n"/>
      <c r="D174" s="61" t="n"/>
      <c r="E174" s="61" t="n"/>
      <c r="F174" s="61" t="n"/>
      <c r="G174" s="62" t="n"/>
      <c r="H174" s="61" t="n"/>
      <c r="I174" s="61" t="n"/>
      <c r="J174" s="75" t="n"/>
    </row>
    <row r="175" ht="15" customHeight="1" s="52">
      <c r="A175" s="56" t="n"/>
      <c r="B175" s="74" t="n"/>
      <c r="C175" s="58" t="n"/>
      <c r="D175" s="56" t="n"/>
      <c r="E175" s="56" t="n"/>
      <c r="F175" s="56" t="n"/>
      <c r="G175" s="57" t="n"/>
      <c r="H175" s="56" t="n"/>
      <c r="I175" s="56" t="n"/>
      <c r="J175" s="74" t="n"/>
    </row>
    <row r="176" ht="15" customHeight="1" s="52">
      <c r="A176" s="61" t="n"/>
      <c r="B176" s="75" t="n"/>
      <c r="C176" s="63" t="n"/>
      <c r="D176" s="61" t="n"/>
      <c r="E176" s="61" t="n"/>
      <c r="F176" s="61" t="n"/>
      <c r="G176" s="62" t="n"/>
      <c r="H176" s="61" t="n"/>
      <c r="I176" s="61" t="n"/>
      <c r="J176" s="75" t="n"/>
    </row>
    <row r="177" ht="15" customHeight="1" s="52">
      <c r="A177" s="56" t="n"/>
      <c r="B177" s="74" t="n"/>
      <c r="C177" s="58" t="n"/>
      <c r="D177" s="56" t="n"/>
      <c r="E177" s="56" t="n"/>
      <c r="F177" s="56" t="n"/>
      <c r="G177" s="57" t="n"/>
      <c r="H177" s="56" t="n"/>
      <c r="I177" s="56" t="n"/>
      <c r="J177" s="74" t="n"/>
    </row>
    <row r="178" ht="15" customHeight="1" s="52">
      <c r="A178" s="61" t="n"/>
      <c r="B178" s="75" t="n"/>
      <c r="C178" s="63" t="n"/>
      <c r="D178" s="61" t="n"/>
      <c r="E178" s="61" t="n"/>
      <c r="F178" s="61" t="n"/>
      <c r="G178" s="62" t="n"/>
      <c r="H178" s="61" t="n"/>
      <c r="I178" s="61" t="n"/>
      <c r="J178" s="75" t="n"/>
    </row>
    <row r="179" ht="15" customHeight="1" s="52">
      <c r="A179" s="56" t="n"/>
      <c r="B179" s="74" t="n"/>
      <c r="C179" s="58" t="n"/>
      <c r="D179" s="56" t="n"/>
      <c r="E179" s="56" t="n"/>
      <c r="F179" s="56" t="n"/>
      <c r="G179" s="57" t="n"/>
      <c r="H179" s="56" t="n"/>
      <c r="I179" s="56" t="n"/>
      <c r="J179" s="74" t="n"/>
    </row>
    <row r="180" ht="15" customHeight="1" s="52">
      <c r="A180" s="61" t="n"/>
      <c r="B180" s="75" t="n"/>
      <c r="C180" s="63" t="n"/>
      <c r="D180" s="61" t="n"/>
      <c r="E180" s="61" t="n"/>
      <c r="F180" s="61" t="n"/>
      <c r="G180" s="62" t="n"/>
      <c r="H180" s="61" t="n"/>
      <c r="I180" s="61" t="n"/>
      <c r="J180" s="75" t="n"/>
    </row>
    <row r="181" ht="15" customHeight="1" s="52">
      <c r="A181" s="56" t="n"/>
      <c r="B181" s="74" t="n"/>
      <c r="C181" s="58" t="n"/>
      <c r="D181" s="56" t="n"/>
      <c r="E181" s="56" t="n"/>
      <c r="F181" s="56" t="n"/>
      <c r="G181" s="57" t="n"/>
      <c r="H181" s="56" t="n"/>
      <c r="I181" s="56" t="n"/>
      <c r="J181" s="74" t="n"/>
    </row>
    <row r="182" ht="15" customHeight="1" s="52">
      <c r="A182" s="61" t="n"/>
      <c r="B182" s="75" t="n"/>
      <c r="C182" s="63" t="n"/>
      <c r="D182" s="61" t="n"/>
      <c r="E182" s="61" t="n"/>
      <c r="F182" s="61" t="n"/>
      <c r="G182" s="62" t="n"/>
      <c r="H182" s="61" t="n"/>
      <c r="I182" s="61" t="n"/>
      <c r="J182" s="75" t="n"/>
    </row>
    <row r="183" ht="15" customHeight="1" s="52">
      <c r="A183" s="56" t="n"/>
      <c r="B183" s="74" t="n"/>
      <c r="C183" s="58" t="n"/>
      <c r="D183" s="56" t="n"/>
      <c r="E183" s="56" t="n"/>
      <c r="F183" s="56" t="n"/>
      <c r="G183" s="57" t="n"/>
      <c r="H183" s="56" t="n"/>
      <c r="I183" s="56" t="n"/>
      <c r="J183" s="74" t="n"/>
    </row>
    <row r="184" ht="15" customHeight="1" s="52">
      <c r="A184" s="61" t="n"/>
      <c r="B184" s="75" t="n"/>
      <c r="C184" s="63" t="n"/>
      <c r="D184" s="61" t="n"/>
      <c r="E184" s="61" t="n"/>
      <c r="F184" s="61" t="n"/>
      <c r="G184" s="62" t="n"/>
      <c r="H184" s="61" t="n"/>
      <c r="I184" s="61" t="n"/>
      <c r="J184" s="75" t="n"/>
    </row>
    <row r="185" ht="15" customHeight="1" s="52">
      <c r="A185" s="56" t="n"/>
      <c r="B185" s="74" t="n"/>
      <c r="C185" s="58" t="n"/>
      <c r="D185" s="56" t="n"/>
      <c r="E185" s="56" t="n"/>
      <c r="F185" s="56" t="n"/>
      <c r="G185" s="57" t="n"/>
      <c r="H185" s="56" t="n"/>
      <c r="I185" s="56" t="n"/>
      <c r="J185" s="74" t="n"/>
    </row>
    <row r="186" ht="15" customHeight="1" s="52">
      <c r="A186" s="61" t="n"/>
      <c r="B186" s="75" t="n"/>
      <c r="C186" s="63" t="n"/>
      <c r="D186" s="61" t="n"/>
      <c r="E186" s="61" t="n"/>
      <c r="F186" s="61" t="n"/>
      <c r="G186" s="62" t="n"/>
      <c r="H186" s="61" t="n"/>
      <c r="I186" s="61" t="n"/>
      <c r="J186" s="75" t="n"/>
    </row>
    <row r="187" ht="15" customHeight="1" s="52">
      <c r="A187" s="56" t="n"/>
      <c r="B187" s="74" t="n"/>
      <c r="C187" s="58" t="n"/>
      <c r="D187" s="56" t="n"/>
      <c r="E187" s="56" t="n"/>
      <c r="F187" s="56" t="n"/>
      <c r="G187" s="57" t="n"/>
      <c r="H187" s="56" t="n"/>
      <c r="I187" s="56" t="n"/>
      <c r="J187" s="74" t="n"/>
    </row>
    <row r="188" ht="15" customHeight="1" s="52">
      <c r="A188" s="61" t="n"/>
      <c r="B188" s="75" t="n"/>
      <c r="C188" s="63" t="n"/>
      <c r="D188" s="61" t="n"/>
      <c r="E188" s="61" t="n"/>
      <c r="F188" s="61" t="n"/>
      <c r="G188" s="62" t="n"/>
      <c r="H188" s="61" t="n"/>
      <c r="I188" s="61" t="n"/>
      <c r="J188" s="75" t="n"/>
    </row>
    <row r="189" ht="15" customHeight="1" s="52">
      <c r="A189" s="56" t="n"/>
      <c r="B189" s="74" t="n"/>
      <c r="C189" s="58" t="n"/>
      <c r="D189" s="56" t="n"/>
      <c r="E189" s="56" t="n"/>
      <c r="F189" s="56" t="n"/>
      <c r="G189" s="57" t="n"/>
      <c r="H189" s="56" t="n"/>
      <c r="I189" s="56" t="n"/>
      <c r="J189" s="74" t="n"/>
    </row>
    <row r="190" ht="15" customHeight="1" s="52">
      <c r="A190" s="61" t="n"/>
      <c r="B190" s="75" t="n"/>
      <c r="C190" s="63" t="n"/>
      <c r="D190" s="61" t="n"/>
      <c r="E190" s="61" t="n"/>
      <c r="F190" s="61" t="n"/>
      <c r="G190" s="62" t="n"/>
      <c r="H190" s="61" t="n"/>
      <c r="I190" s="61" t="n"/>
      <c r="J190" s="75" t="n"/>
    </row>
    <row r="191" ht="15" customHeight="1" s="52">
      <c r="A191" s="56" t="n"/>
      <c r="B191" s="74" t="n"/>
      <c r="C191" s="58" t="n"/>
      <c r="D191" s="56" t="n"/>
      <c r="E191" s="56" t="n"/>
      <c r="F191" s="56" t="n"/>
      <c r="G191" s="57" t="n"/>
      <c r="H191" s="56" t="n"/>
      <c r="I191" s="56" t="n"/>
      <c r="J191" s="74" t="n"/>
    </row>
    <row r="192" ht="15" customHeight="1" s="52">
      <c r="A192" s="61" t="n"/>
      <c r="B192" s="75" t="n"/>
      <c r="C192" s="63" t="n"/>
      <c r="D192" s="61" t="n"/>
      <c r="E192" s="61" t="n"/>
      <c r="F192" s="61" t="n"/>
      <c r="G192" s="62" t="n"/>
      <c r="H192" s="61" t="n"/>
      <c r="I192" s="61" t="n"/>
      <c r="J192" s="75" t="n"/>
    </row>
    <row r="193" ht="15" customHeight="1" s="52">
      <c r="A193" s="56" t="n"/>
      <c r="B193" s="74" t="n"/>
      <c r="C193" s="58" t="n"/>
      <c r="D193" s="56" t="n"/>
      <c r="E193" s="56" t="n"/>
      <c r="F193" s="56" t="n"/>
      <c r="G193" s="57" t="n"/>
      <c r="H193" s="56" t="n"/>
      <c r="I193" s="56" t="n"/>
      <c r="J193" s="74" t="n"/>
    </row>
    <row r="194" ht="15" customHeight="1" s="52">
      <c r="A194" s="61" t="n"/>
      <c r="B194" s="75" t="n"/>
      <c r="C194" s="63" t="n"/>
      <c r="D194" s="61" t="n"/>
      <c r="E194" s="61" t="n"/>
      <c r="F194" s="61" t="n"/>
      <c r="G194" s="62" t="n"/>
      <c r="H194" s="61" t="n"/>
      <c r="I194" s="61" t="n"/>
      <c r="J194" s="75" t="n"/>
    </row>
    <row r="195" ht="15" customHeight="1" s="52">
      <c r="A195" s="56" t="n"/>
      <c r="B195" s="74" t="n"/>
      <c r="C195" s="58" t="n"/>
      <c r="D195" s="56" t="n"/>
      <c r="E195" s="56" t="n"/>
      <c r="F195" s="56" t="n"/>
      <c r="G195" s="57" t="n"/>
      <c r="H195" s="56" t="n"/>
      <c r="I195" s="56" t="n"/>
      <c r="J195" s="74" t="n"/>
    </row>
    <row r="196" ht="15" customHeight="1" s="52">
      <c r="A196" s="61" t="n"/>
      <c r="B196" s="75" t="n"/>
      <c r="C196" s="63" t="n"/>
      <c r="D196" s="61" t="n"/>
      <c r="E196" s="61" t="n"/>
      <c r="F196" s="61" t="n"/>
      <c r="G196" s="62" t="n"/>
      <c r="H196" s="61" t="n"/>
      <c r="I196" s="61" t="n"/>
      <c r="J196" s="75" t="n"/>
    </row>
    <row r="197" ht="15" customHeight="1" s="52">
      <c r="A197" s="56" t="n"/>
      <c r="B197" s="74" t="n"/>
      <c r="C197" s="58" t="n"/>
      <c r="D197" s="56" t="n"/>
      <c r="E197" s="56" t="n"/>
      <c r="F197" s="56" t="n"/>
      <c r="G197" s="57" t="n"/>
      <c r="H197" s="56" t="n"/>
      <c r="I197" s="56" t="n"/>
      <c r="J197" s="74" t="n"/>
    </row>
    <row r="198" ht="15" customHeight="1" s="52">
      <c r="A198" s="61" t="n"/>
      <c r="B198" s="75" t="n"/>
      <c r="C198" s="63" t="n"/>
      <c r="D198" s="61" t="n"/>
      <c r="E198" s="61" t="n"/>
      <c r="F198" s="61" t="n"/>
      <c r="G198" s="62" t="n"/>
      <c r="H198" s="61" t="n"/>
      <c r="I198" s="61" t="n"/>
      <c r="J198" s="75" t="n"/>
    </row>
    <row r="199" ht="15" customHeight="1" s="52">
      <c r="A199" s="56" t="n"/>
      <c r="B199" s="74" t="n"/>
      <c r="C199" s="58" t="n"/>
      <c r="D199" s="56" t="n"/>
      <c r="E199" s="56" t="n"/>
      <c r="F199" s="56" t="n"/>
      <c r="G199" s="57" t="n"/>
      <c r="H199" s="56" t="n"/>
      <c r="I199" s="56" t="n"/>
      <c r="J199" s="74" t="n"/>
    </row>
    <row r="200" ht="15" customHeight="1" s="52">
      <c r="A200" s="61" t="n"/>
      <c r="B200" s="75" t="n"/>
      <c r="C200" s="63" t="n"/>
      <c r="D200" s="61" t="n"/>
      <c r="E200" s="61" t="n"/>
      <c r="F200" s="61" t="n"/>
      <c r="G200" s="62" t="n"/>
      <c r="H200" s="61" t="n"/>
      <c r="I200" s="61" t="n"/>
      <c r="J200" s="75" t="n"/>
    </row>
    <row r="201" ht="15" customHeight="1" s="52">
      <c r="A201" s="56" t="n"/>
      <c r="B201" s="74" t="n"/>
      <c r="C201" s="58" t="n"/>
      <c r="D201" s="56" t="n"/>
      <c r="E201" s="56" t="n"/>
      <c r="F201" s="56" t="n"/>
      <c r="G201" s="57" t="n"/>
      <c r="H201" s="56" t="n"/>
      <c r="I201" s="56" t="n"/>
      <c r="J201" s="74" t="n"/>
    </row>
    <row r="202" ht="15" customHeight="1" s="52">
      <c r="A202" s="61" t="n"/>
      <c r="B202" s="75" t="n"/>
      <c r="C202" s="63" t="n"/>
      <c r="D202" s="61" t="n"/>
      <c r="E202" s="61" t="n"/>
      <c r="F202" s="61" t="n"/>
      <c r="G202" s="62" t="n"/>
      <c r="H202" s="61" t="n"/>
      <c r="I202" s="61" t="n"/>
      <c r="J202" s="75" t="n"/>
    </row>
    <row r="203" ht="15" customHeight="1" s="52">
      <c r="A203" s="56" t="n"/>
      <c r="B203" s="74" t="n"/>
      <c r="C203" s="58" t="n"/>
      <c r="D203" s="56" t="n"/>
      <c r="E203" s="56" t="n"/>
      <c r="F203" s="56" t="n"/>
      <c r="G203" s="57" t="n"/>
      <c r="H203" s="56" t="n"/>
      <c r="I203" s="56" t="n"/>
      <c r="J203" s="74" t="n"/>
    </row>
    <row r="204" ht="15" customHeight="1" s="52">
      <c r="A204" s="61" t="n"/>
      <c r="B204" s="75" t="n"/>
      <c r="C204" s="63" t="n"/>
      <c r="D204" s="61" t="n"/>
      <c r="E204" s="61" t="n"/>
      <c r="F204" s="61" t="n"/>
      <c r="G204" s="62" t="n"/>
      <c r="H204" s="61" t="n"/>
      <c r="I204" s="61" t="n"/>
      <c r="J204" s="75" t="n"/>
    </row>
    <row r="205" ht="15" customHeight="1" s="52">
      <c r="A205" s="56" t="n"/>
      <c r="B205" s="74" t="n"/>
      <c r="C205" s="58" t="n"/>
      <c r="D205" s="56" t="n"/>
      <c r="E205" s="56" t="n"/>
      <c r="F205" s="56" t="n"/>
      <c r="G205" s="57" t="n"/>
      <c r="H205" s="56" t="n"/>
      <c r="I205" s="56" t="n"/>
      <c r="J205" s="74" t="n"/>
    </row>
    <row r="206" ht="15" customHeight="1" s="52">
      <c r="A206" s="61" t="n"/>
      <c r="B206" s="75" t="n"/>
      <c r="C206" s="63" t="n"/>
      <c r="D206" s="61" t="n"/>
      <c r="E206" s="61" t="n"/>
      <c r="F206" s="61" t="n"/>
      <c r="G206" s="62" t="n"/>
      <c r="H206" s="61" t="n"/>
      <c r="I206" s="61" t="n"/>
      <c r="J206" s="75" t="n"/>
    </row>
    <row r="207" ht="15" customHeight="1" s="52">
      <c r="A207" s="56" t="n"/>
      <c r="B207" s="74" t="n"/>
      <c r="C207" s="58" t="n"/>
      <c r="D207" s="56" t="n"/>
      <c r="E207" s="56" t="n"/>
      <c r="F207" s="56" t="n"/>
      <c r="G207" s="57" t="n"/>
      <c r="H207" s="56" t="n"/>
      <c r="I207" s="56" t="n"/>
      <c r="J207" s="74" t="n"/>
    </row>
    <row r="208" ht="15" customHeight="1" s="52">
      <c r="A208" s="61" t="n"/>
      <c r="B208" s="75" t="n"/>
      <c r="C208" s="63" t="n"/>
      <c r="D208" s="61" t="n"/>
      <c r="E208" s="61" t="n"/>
      <c r="F208" s="61" t="n"/>
      <c r="G208" s="62" t="n"/>
      <c r="H208" s="61" t="n"/>
      <c r="I208" s="61" t="n"/>
      <c r="J208" s="75" t="n"/>
    </row>
    <row r="209" ht="15" customHeight="1" s="52">
      <c r="A209" s="56" t="n"/>
      <c r="B209" s="74" t="n"/>
      <c r="C209" s="58" t="n"/>
      <c r="D209" s="56" t="n"/>
      <c r="E209" s="56" t="n"/>
      <c r="F209" s="56" t="n"/>
      <c r="G209" s="57" t="n"/>
      <c r="H209" s="56" t="n"/>
      <c r="I209" s="56" t="n"/>
      <c r="J209" s="74" t="n"/>
    </row>
    <row r="210" ht="15" customHeight="1" s="52">
      <c r="A210" s="61" t="n"/>
      <c r="B210" s="75" t="n"/>
      <c r="C210" s="63" t="n"/>
      <c r="D210" s="61" t="n"/>
      <c r="E210" s="61" t="n"/>
      <c r="F210" s="61" t="n"/>
      <c r="G210" s="62" t="n"/>
      <c r="H210" s="61" t="n"/>
      <c r="I210" s="61" t="n"/>
      <c r="J210" s="75" t="n"/>
    </row>
    <row r="211" ht="15" customHeight="1" s="52">
      <c r="A211" s="56" t="n"/>
      <c r="B211" s="74" t="n"/>
      <c r="C211" s="58" t="n"/>
      <c r="D211" s="56" t="n"/>
      <c r="E211" s="56" t="n"/>
      <c r="F211" s="56" t="n"/>
      <c r="G211" s="57" t="n"/>
      <c r="H211" s="56" t="n"/>
      <c r="I211" s="56" t="n"/>
      <c r="J211" s="74" t="n"/>
    </row>
    <row r="212" ht="15" customHeight="1" s="52">
      <c r="A212" s="61" t="n"/>
      <c r="B212" s="75" t="n"/>
      <c r="C212" s="63" t="n"/>
      <c r="D212" s="61" t="n"/>
      <c r="E212" s="61" t="n"/>
      <c r="F212" s="61" t="n"/>
      <c r="G212" s="62" t="n"/>
      <c r="H212" s="61" t="n"/>
      <c r="I212" s="61" t="n"/>
      <c r="J212" s="75" t="n"/>
    </row>
    <row r="213" ht="15" customHeight="1" s="52">
      <c r="A213" s="56" t="n"/>
      <c r="B213" s="74" t="n"/>
      <c r="C213" s="58" t="n"/>
      <c r="D213" s="56" t="n"/>
      <c r="E213" s="56" t="n"/>
      <c r="F213" s="56" t="n"/>
      <c r="G213" s="57" t="n"/>
      <c r="H213" s="56" t="n"/>
      <c r="I213" s="56" t="n"/>
      <c r="J213" s="74" t="n"/>
    </row>
    <row r="214" ht="15" customHeight="1" s="52">
      <c r="A214" s="61" t="n"/>
      <c r="B214" s="75" t="n"/>
      <c r="C214" s="63" t="n"/>
      <c r="D214" s="61" t="n"/>
      <c r="E214" s="61" t="n"/>
      <c r="F214" s="61" t="n"/>
      <c r="G214" s="62" t="n"/>
      <c r="H214" s="61" t="n"/>
      <c r="I214" s="61" t="n"/>
      <c r="J214" s="75" t="n"/>
    </row>
    <row r="215" ht="15" customHeight="1" s="52">
      <c r="A215" s="56" t="n"/>
      <c r="B215" s="74" t="n"/>
      <c r="C215" s="58" t="n"/>
      <c r="D215" s="56" t="n"/>
      <c r="E215" s="56" t="n"/>
      <c r="F215" s="56" t="n"/>
      <c r="G215" s="57" t="n"/>
      <c r="H215" s="56" t="n"/>
      <c r="I215" s="56" t="n"/>
      <c r="J215" s="74" t="n"/>
    </row>
    <row r="216" ht="15" customHeight="1" s="52">
      <c r="A216" s="61" t="n"/>
      <c r="B216" s="75" t="n"/>
      <c r="C216" s="63" t="n"/>
      <c r="D216" s="61" t="n"/>
      <c r="E216" s="61" t="n"/>
      <c r="F216" s="61" t="n"/>
      <c r="G216" s="62" t="n"/>
      <c r="H216" s="61" t="n"/>
      <c r="I216" s="61" t="n"/>
      <c r="J216" s="75" t="n"/>
    </row>
    <row r="217" ht="15" customHeight="1" s="52">
      <c r="A217" s="56" t="n"/>
      <c r="B217" s="74" t="n"/>
      <c r="C217" s="58" t="n"/>
      <c r="D217" s="56" t="n"/>
      <c r="E217" s="56" t="n"/>
      <c r="F217" s="56" t="n"/>
      <c r="G217" s="57" t="n"/>
      <c r="H217" s="56" t="n"/>
      <c r="I217" s="56" t="n"/>
      <c r="J217" s="74" t="n"/>
    </row>
    <row r="218" ht="15" customHeight="1" s="52">
      <c r="A218" s="61" t="n"/>
      <c r="B218" s="75" t="n"/>
      <c r="C218" s="63" t="n"/>
      <c r="D218" s="61" t="n"/>
      <c r="E218" s="61" t="n"/>
      <c r="F218" s="61" t="n"/>
      <c r="G218" s="62" t="n"/>
      <c r="H218" s="61" t="n"/>
      <c r="I218" s="61" t="n"/>
      <c r="J218" s="75" t="n"/>
    </row>
    <row r="219" ht="15" customHeight="1" s="52">
      <c r="A219" s="56" t="n"/>
      <c r="B219" s="74" t="n"/>
      <c r="C219" s="58" t="n"/>
      <c r="D219" s="56" t="n"/>
      <c r="E219" s="56" t="n"/>
      <c r="F219" s="56" t="n"/>
      <c r="G219" s="57" t="n"/>
      <c r="H219" s="56" t="n"/>
      <c r="I219" s="56" t="n"/>
      <c r="J219" s="74" t="n"/>
    </row>
    <row r="220" ht="15" customHeight="1" s="52">
      <c r="A220" s="61" t="n"/>
      <c r="B220" s="75" t="n"/>
      <c r="C220" s="63" t="n"/>
      <c r="D220" s="61" t="n"/>
      <c r="E220" s="61" t="n"/>
      <c r="F220" s="61" t="n"/>
      <c r="G220" s="62" t="n"/>
      <c r="H220" s="61" t="n"/>
      <c r="I220" s="61" t="n"/>
      <c r="J220" s="75" t="n"/>
    </row>
    <row r="221" ht="15" customHeight="1" s="52">
      <c r="A221" s="56" t="n"/>
      <c r="B221" s="74" t="n"/>
      <c r="C221" s="58" t="n"/>
      <c r="D221" s="56" t="n"/>
      <c r="E221" s="56" t="n"/>
      <c r="F221" s="56" t="n"/>
      <c r="G221" s="57" t="n"/>
      <c r="H221" s="56" t="n"/>
      <c r="I221" s="56" t="n"/>
      <c r="J221" s="74" t="n"/>
    </row>
    <row r="222" ht="15" customHeight="1" s="52">
      <c r="A222" s="61" t="n"/>
      <c r="B222" s="75" t="n"/>
      <c r="C222" s="63" t="n"/>
      <c r="D222" s="61" t="n"/>
      <c r="E222" s="61" t="n"/>
      <c r="F222" s="61" t="n"/>
      <c r="G222" s="62" t="n"/>
      <c r="H222" s="61" t="n"/>
      <c r="I222" s="61" t="n"/>
      <c r="J222" s="75" t="n"/>
    </row>
    <row r="223" ht="15" customHeight="1" s="52">
      <c r="A223" s="56" t="n"/>
      <c r="B223" s="74" t="n"/>
      <c r="C223" s="58" t="n"/>
      <c r="D223" s="56" t="n"/>
      <c r="E223" s="56" t="n"/>
      <c r="F223" s="56" t="n"/>
      <c r="G223" s="57" t="n"/>
      <c r="H223" s="56" t="n"/>
      <c r="I223" s="56" t="n"/>
      <c r="J223" s="74" t="n"/>
    </row>
    <row r="224" ht="15" customHeight="1" s="52">
      <c r="A224" s="61" t="n"/>
      <c r="B224" s="75" t="n"/>
      <c r="C224" s="63" t="n"/>
      <c r="D224" s="61" t="n"/>
      <c r="E224" s="61" t="n"/>
      <c r="F224" s="61" t="n"/>
      <c r="G224" s="62" t="n"/>
      <c r="H224" s="61" t="n"/>
      <c r="I224" s="61" t="n"/>
      <c r="J224" s="75" t="n"/>
    </row>
    <row r="225" ht="15" customHeight="1" s="52">
      <c r="A225" s="56" t="n"/>
      <c r="B225" s="74" t="n"/>
      <c r="C225" s="58" t="n"/>
      <c r="D225" s="56" t="n"/>
      <c r="E225" s="56" t="n"/>
      <c r="F225" s="56" t="n"/>
      <c r="G225" s="57" t="n"/>
      <c r="H225" s="56" t="n"/>
      <c r="I225" s="56" t="n"/>
      <c r="J225" s="74" t="n"/>
    </row>
    <row r="226" ht="15" customHeight="1" s="52">
      <c r="A226" s="61" t="n"/>
      <c r="B226" s="75" t="n"/>
      <c r="C226" s="63" t="n"/>
      <c r="D226" s="61" t="n"/>
      <c r="E226" s="61" t="n"/>
      <c r="F226" s="61" t="n"/>
      <c r="G226" s="62" t="n"/>
      <c r="H226" s="61" t="n"/>
      <c r="I226" s="61" t="n"/>
      <c r="J226" s="75" t="n"/>
    </row>
    <row r="227" ht="15" customHeight="1" s="52">
      <c r="A227" s="56" t="n"/>
      <c r="B227" s="74" t="n"/>
      <c r="C227" s="58" t="n"/>
      <c r="D227" s="56" t="n"/>
      <c r="E227" s="56" t="n"/>
      <c r="F227" s="56" t="n"/>
      <c r="G227" s="57" t="n"/>
      <c r="H227" s="56" t="n"/>
      <c r="I227" s="56" t="n"/>
      <c r="J227" s="74" t="n"/>
    </row>
    <row r="228" ht="15" customHeight="1" s="52">
      <c r="A228" s="61" t="n"/>
      <c r="B228" s="75" t="n"/>
      <c r="C228" s="63" t="n"/>
      <c r="D228" s="61" t="n"/>
      <c r="E228" s="61" t="n"/>
      <c r="F228" s="61" t="n"/>
      <c r="G228" s="62" t="n"/>
      <c r="H228" s="61" t="n"/>
      <c r="I228" s="61" t="n"/>
      <c r="J228" s="75" t="n"/>
    </row>
    <row r="229" ht="15" customHeight="1" s="52">
      <c r="A229" s="56" t="n"/>
      <c r="B229" s="74" t="n"/>
      <c r="C229" s="58" t="n"/>
      <c r="D229" s="56" t="n"/>
      <c r="E229" s="56" t="n"/>
      <c r="F229" s="56" t="n"/>
      <c r="G229" s="57" t="n"/>
      <c r="H229" s="56" t="n"/>
      <c r="I229" s="56" t="n"/>
      <c r="J229" s="74" t="n"/>
    </row>
    <row r="230" ht="15" customHeight="1" s="52">
      <c r="A230" s="61" t="n"/>
      <c r="B230" s="75" t="n"/>
      <c r="C230" s="63" t="n"/>
      <c r="D230" s="61" t="n"/>
      <c r="E230" s="61" t="n"/>
      <c r="F230" s="61" t="n"/>
      <c r="G230" s="62" t="n"/>
      <c r="H230" s="61" t="n"/>
      <c r="I230" s="61" t="n"/>
      <c r="J230" s="75" t="n"/>
    </row>
    <row r="231" ht="15" customHeight="1" s="52">
      <c r="A231" s="56" t="n"/>
      <c r="B231" s="74" t="n"/>
      <c r="C231" s="58" t="n"/>
      <c r="D231" s="56" t="n"/>
      <c r="E231" s="56" t="n"/>
      <c r="F231" s="56" t="n"/>
      <c r="G231" s="57" t="n"/>
      <c r="H231" s="56" t="n"/>
      <c r="I231" s="56" t="n"/>
      <c r="J231" s="74" t="n"/>
    </row>
    <row r="232" ht="15" customHeight="1" s="52">
      <c r="A232" s="61" t="n"/>
      <c r="B232" s="75" t="n"/>
      <c r="C232" s="63" t="n"/>
      <c r="D232" s="61" t="n"/>
      <c r="E232" s="61" t="n"/>
      <c r="F232" s="61" t="n"/>
      <c r="G232" s="62" t="n"/>
      <c r="H232" s="61" t="n"/>
      <c r="I232" s="61" t="n"/>
      <c r="J232" s="75" t="n"/>
    </row>
    <row r="233" ht="15" customHeight="1" s="52">
      <c r="A233" s="56" t="n"/>
      <c r="B233" s="74" t="n"/>
      <c r="C233" s="58" t="n"/>
      <c r="D233" s="56" t="n"/>
      <c r="E233" s="56" t="n"/>
      <c r="F233" s="56" t="n"/>
      <c r="G233" s="57" t="n"/>
      <c r="H233" s="56" t="n"/>
      <c r="I233" s="56" t="n"/>
      <c r="J233" s="74" t="n"/>
    </row>
    <row r="234" ht="15" customHeight="1" s="52">
      <c r="A234" s="61" t="n"/>
      <c r="B234" s="75" t="n"/>
      <c r="C234" s="63" t="n"/>
      <c r="D234" s="61" t="n"/>
      <c r="E234" s="61" t="n"/>
      <c r="F234" s="61" t="n"/>
      <c r="G234" s="62" t="n"/>
      <c r="H234" s="61" t="n"/>
      <c r="I234" s="61" t="n"/>
      <c r="J234" s="75" t="n"/>
    </row>
    <row r="235" ht="15" customHeight="1" s="52">
      <c r="A235" s="56" t="n"/>
      <c r="B235" s="74" t="n"/>
      <c r="C235" s="58" t="n"/>
      <c r="D235" s="56" t="n"/>
      <c r="E235" s="56" t="n"/>
      <c r="F235" s="56" t="n"/>
      <c r="G235" s="57" t="n"/>
      <c r="H235" s="56" t="n"/>
      <c r="I235" s="56" t="n"/>
      <c r="J235" s="74" t="n"/>
    </row>
    <row r="236" ht="15" customHeight="1" s="52">
      <c r="A236" s="61" t="n"/>
      <c r="B236" s="75" t="n"/>
      <c r="C236" s="63" t="n"/>
      <c r="D236" s="61" t="n"/>
      <c r="E236" s="61" t="n"/>
      <c r="F236" s="61" t="n"/>
      <c r="G236" s="62" t="n"/>
      <c r="H236" s="61" t="n"/>
      <c r="I236" s="61" t="n"/>
      <c r="J236" s="75" t="n"/>
    </row>
    <row r="237" ht="15" customHeight="1" s="52">
      <c r="A237" s="56" t="n"/>
      <c r="B237" s="74" t="n"/>
      <c r="C237" s="58" t="n"/>
      <c r="D237" s="56" t="n"/>
      <c r="E237" s="56" t="n"/>
      <c r="F237" s="56" t="n"/>
      <c r="G237" s="57" t="n"/>
      <c r="H237" s="56" t="n"/>
      <c r="I237" s="56" t="n"/>
      <c r="J237" s="74" t="n"/>
    </row>
    <row r="238" ht="15" customHeight="1" s="52">
      <c r="A238" s="61" t="n"/>
      <c r="B238" s="75" t="n"/>
      <c r="C238" s="63" t="n"/>
      <c r="D238" s="61" t="n"/>
      <c r="E238" s="61" t="n"/>
      <c r="F238" s="61" t="n"/>
      <c r="G238" s="62" t="n"/>
      <c r="H238" s="61" t="n"/>
      <c r="I238" s="61" t="n"/>
      <c r="J238" s="75" t="n"/>
    </row>
    <row r="239" ht="15" customHeight="1" s="52">
      <c r="A239" s="56" t="n"/>
      <c r="B239" s="74" t="n"/>
      <c r="C239" s="58" t="n"/>
      <c r="D239" s="56" t="n"/>
      <c r="E239" s="56" t="n"/>
      <c r="F239" s="56" t="n"/>
      <c r="G239" s="57" t="n"/>
      <c r="H239" s="56" t="n"/>
      <c r="I239" s="56" t="n"/>
      <c r="J239" s="74" t="n"/>
    </row>
    <row r="240" ht="15" customHeight="1" s="52">
      <c r="A240" s="61" t="n"/>
      <c r="B240" s="75" t="n"/>
      <c r="C240" s="63" t="n"/>
      <c r="D240" s="61" t="n"/>
      <c r="E240" s="61" t="n"/>
      <c r="F240" s="61" t="n"/>
      <c r="G240" s="62" t="n"/>
      <c r="H240" s="61" t="n"/>
      <c r="I240" s="61" t="n"/>
      <c r="J240" s="75" t="n"/>
    </row>
    <row r="241" ht="15" customHeight="1" s="52">
      <c r="A241" s="56" t="n"/>
      <c r="B241" s="74" t="n"/>
      <c r="C241" s="58" t="n"/>
      <c r="D241" s="56" t="n"/>
      <c r="E241" s="56" t="n"/>
      <c r="F241" s="56" t="n"/>
      <c r="G241" s="57" t="n"/>
      <c r="H241" s="56" t="n"/>
      <c r="I241" s="56" t="n"/>
      <c r="J241" s="74" t="n"/>
    </row>
    <row r="242" ht="15" customHeight="1" s="52">
      <c r="A242" s="61" t="n"/>
      <c r="B242" s="75" t="n"/>
      <c r="C242" s="63" t="n"/>
      <c r="D242" s="61" t="n"/>
      <c r="E242" s="61" t="n"/>
      <c r="F242" s="61" t="n"/>
      <c r="G242" s="62" t="n"/>
      <c r="H242" s="61" t="n"/>
      <c r="I242" s="61" t="n"/>
      <c r="J242" s="75" t="n"/>
    </row>
    <row r="243" ht="15" customHeight="1" s="52">
      <c r="A243" s="56" t="n"/>
      <c r="B243" s="74" t="n"/>
      <c r="C243" s="58" t="n"/>
      <c r="D243" s="56" t="n"/>
      <c r="E243" s="56" t="n"/>
      <c r="F243" s="56" t="n"/>
      <c r="G243" s="57" t="n"/>
      <c r="H243" s="56" t="n"/>
      <c r="I243" s="56" t="n"/>
      <c r="J243" s="74" t="n"/>
    </row>
    <row r="244" ht="15" customHeight="1" s="52">
      <c r="A244" s="61" t="n"/>
      <c r="B244" s="75" t="n"/>
      <c r="C244" s="63" t="n"/>
      <c r="D244" s="61" t="n"/>
      <c r="E244" s="61" t="n"/>
      <c r="F244" s="61" t="n"/>
      <c r="G244" s="62" t="n"/>
      <c r="H244" s="61" t="n"/>
      <c r="I244" s="61" t="n"/>
      <c r="J244" s="75" t="n"/>
    </row>
    <row r="245" ht="15" customHeight="1" s="52">
      <c r="A245" s="56" t="n"/>
      <c r="B245" s="74" t="n"/>
      <c r="C245" s="58" t="n"/>
      <c r="D245" s="56" t="n"/>
      <c r="E245" s="56" t="n"/>
      <c r="F245" s="56" t="n"/>
      <c r="G245" s="57" t="n"/>
      <c r="H245" s="56" t="n"/>
      <c r="I245" s="56" t="n"/>
      <c r="J245" s="74" t="n"/>
    </row>
    <row r="246" ht="15" customHeight="1" s="52">
      <c r="A246" s="61" t="n"/>
      <c r="B246" s="75" t="n"/>
      <c r="C246" s="63" t="n"/>
      <c r="D246" s="61" t="n"/>
      <c r="E246" s="61" t="n"/>
      <c r="F246" s="61" t="n"/>
      <c r="G246" s="62" t="n"/>
      <c r="H246" s="61" t="n"/>
      <c r="I246" s="61" t="n"/>
      <c r="J246" s="75" t="n"/>
    </row>
    <row r="247" ht="15" customHeight="1" s="52">
      <c r="A247" s="56" t="n"/>
      <c r="B247" s="74" t="n"/>
      <c r="C247" s="58" t="n"/>
      <c r="D247" s="56" t="n"/>
      <c r="E247" s="56" t="n"/>
      <c r="F247" s="56" t="n"/>
      <c r="G247" s="57" t="n"/>
      <c r="H247" s="56" t="n"/>
      <c r="I247" s="56" t="n"/>
      <c r="J247" s="74" t="n"/>
    </row>
    <row r="248" ht="15" customHeight="1" s="52">
      <c r="A248" s="61" t="n"/>
      <c r="B248" s="75" t="n"/>
      <c r="C248" s="63" t="n"/>
      <c r="D248" s="61" t="n"/>
      <c r="E248" s="61" t="n"/>
      <c r="F248" s="61" t="n"/>
      <c r="G248" s="62" t="n"/>
      <c r="H248" s="61" t="n"/>
      <c r="I248" s="61" t="n"/>
      <c r="J248" s="75" t="n"/>
    </row>
    <row r="249" ht="15" customHeight="1" s="52">
      <c r="A249" s="56" t="n"/>
      <c r="B249" s="74" t="n"/>
      <c r="C249" s="58" t="n"/>
      <c r="D249" s="56" t="n"/>
      <c r="E249" s="56" t="n"/>
      <c r="F249" s="56" t="n"/>
      <c r="G249" s="57" t="n"/>
      <c r="H249" s="56" t="n"/>
      <c r="I249" s="56" t="n"/>
      <c r="J249" s="74" t="n"/>
    </row>
    <row r="250" ht="15" customHeight="1" s="52">
      <c r="A250" s="61" t="n"/>
      <c r="B250" s="75" t="n"/>
      <c r="C250" s="63" t="n"/>
      <c r="D250" s="61" t="n"/>
      <c r="E250" s="61" t="n"/>
      <c r="F250" s="61" t="n"/>
      <c r="G250" s="62" t="n"/>
      <c r="H250" s="61" t="n"/>
      <c r="I250" s="61" t="n"/>
      <c r="J250" s="75" t="n"/>
    </row>
    <row r="251" ht="15" customHeight="1" s="52">
      <c r="A251" s="56" t="n"/>
      <c r="B251" s="74" t="n"/>
      <c r="C251" s="58" t="n"/>
      <c r="D251" s="56" t="n"/>
      <c r="E251" s="56" t="n"/>
      <c r="F251" s="56" t="n"/>
      <c r="G251" s="57" t="n"/>
      <c r="H251" s="56" t="n"/>
      <c r="I251" s="56" t="n"/>
      <c r="J251" s="74" t="n"/>
    </row>
    <row r="252" ht="15" customHeight="1" s="52">
      <c r="A252" s="61" t="n"/>
      <c r="B252" s="75" t="n"/>
      <c r="C252" s="63" t="n"/>
      <c r="D252" s="61" t="n"/>
      <c r="E252" s="61" t="n"/>
      <c r="F252" s="61" t="n"/>
      <c r="G252" s="62" t="n"/>
      <c r="H252" s="61" t="n"/>
      <c r="I252" s="61" t="n"/>
      <c r="J252" s="75" t="n"/>
    </row>
    <row r="253" ht="15" customHeight="1" s="52">
      <c r="A253" s="56" t="n"/>
      <c r="B253" s="74" t="n"/>
      <c r="C253" s="58" t="n"/>
      <c r="D253" s="56" t="n"/>
      <c r="E253" s="56" t="n"/>
      <c r="F253" s="56" t="n"/>
      <c r="G253" s="57" t="n"/>
      <c r="H253" s="56" t="n"/>
      <c r="I253" s="56" t="n"/>
      <c r="J253" s="74" t="n"/>
    </row>
    <row r="254" ht="15" customHeight="1" s="52">
      <c r="A254" s="61" t="n"/>
      <c r="B254" s="75" t="n"/>
      <c r="C254" s="63" t="n"/>
      <c r="D254" s="61" t="n"/>
      <c r="E254" s="61" t="n"/>
      <c r="F254" s="61" t="n"/>
      <c r="G254" s="62" t="n"/>
      <c r="H254" s="61" t="n"/>
      <c r="I254" s="61" t="n"/>
      <c r="J254" s="75" t="n"/>
    </row>
    <row r="255" ht="15" customHeight="1" s="52">
      <c r="A255" s="56" t="n"/>
      <c r="B255" s="74" t="n"/>
      <c r="C255" s="58" t="n"/>
      <c r="D255" s="56" t="n"/>
      <c r="E255" s="56" t="n"/>
      <c r="F255" s="56" t="n"/>
      <c r="G255" s="57" t="n"/>
      <c r="H255" s="56" t="n"/>
      <c r="I255" s="56" t="n"/>
      <c r="J255" s="74" t="n"/>
    </row>
    <row r="256" ht="15" customHeight="1" s="52">
      <c r="A256" s="61" t="n"/>
      <c r="B256" s="75" t="n"/>
      <c r="C256" s="63" t="n"/>
      <c r="D256" s="61" t="n"/>
      <c r="E256" s="61" t="n"/>
      <c r="F256" s="61" t="n"/>
      <c r="G256" s="62" t="n"/>
      <c r="H256" s="61" t="n"/>
      <c r="I256" s="61" t="n"/>
      <c r="J256" s="75" t="n"/>
    </row>
    <row r="257" ht="15" customHeight="1" s="52">
      <c r="A257" s="56" t="n"/>
      <c r="B257" s="74" t="n"/>
      <c r="C257" s="58" t="n"/>
      <c r="D257" s="56" t="n"/>
      <c r="E257" s="56" t="n"/>
      <c r="F257" s="56" t="n"/>
      <c r="G257" s="57" t="n"/>
      <c r="H257" s="56" t="n"/>
      <c r="I257" s="56" t="n"/>
      <c r="J257" s="74" t="n"/>
    </row>
    <row r="258" ht="15" customHeight="1" s="52">
      <c r="A258" s="61" t="n"/>
      <c r="B258" s="75" t="n"/>
      <c r="C258" s="63" t="n"/>
      <c r="D258" s="61" t="n"/>
      <c r="E258" s="61" t="n"/>
      <c r="F258" s="61" t="n"/>
      <c r="G258" s="62" t="n"/>
      <c r="H258" s="61" t="n"/>
      <c r="I258" s="61" t="n"/>
      <c r="J258" s="75" t="n"/>
    </row>
    <row r="259" ht="15" customHeight="1" s="52">
      <c r="A259" s="56" t="n"/>
      <c r="B259" s="74" t="n"/>
      <c r="C259" s="58" t="n"/>
      <c r="D259" s="56" t="n"/>
      <c r="E259" s="56" t="n"/>
      <c r="F259" s="56" t="n"/>
      <c r="G259" s="57" t="n"/>
      <c r="H259" s="56" t="n"/>
      <c r="I259" s="56" t="n"/>
      <c r="J259" s="74" t="n"/>
    </row>
    <row r="260" ht="15" customHeight="1" s="52">
      <c r="A260" s="61" t="n"/>
      <c r="B260" s="75" t="n"/>
      <c r="C260" s="63" t="n"/>
      <c r="D260" s="61" t="n"/>
      <c r="E260" s="61" t="n"/>
      <c r="F260" s="61" t="n"/>
      <c r="G260" s="62" t="n"/>
      <c r="H260" s="61" t="n"/>
      <c r="I260" s="61" t="n"/>
      <c r="J260" s="75" t="n"/>
    </row>
    <row r="261" ht="15" customHeight="1" s="52">
      <c r="A261" s="56" t="n"/>
      <c r="B261" s="74" t="n"/>
      <c r="C261" s="58" t="n"/>
      <c r="D261" s="56" t="n"/>
      <c r="E261" s="56" t="n"/>
      <c r="F261" s="56" t="n"/>
      <c r="G261" s="57" t="n"/>
      <c r="H261" s="56" t="n"/>
      <c r="I261" s="56" t="n"/>
      <c r="J261" s="74" t="n"/>
    </row>
    <row r="262" ht="15" customHeight="1" s="52">
      <c r="A262" s="61" t="n"/>
      <c r="B262" s="75" t="n"/>
      <c r="C262" s="63" t="n"/>
      <c r="D262" s="61" t="n"/>
      <c r="E262" s="61" t="n"/>
      <c r="F262" s="61" t="n"/>
      <c r="G262" s="62" t="n"/>
      <c r="H262" s="61" t="n"/>
      <c r="I262" s="61" t="n"/>
      <c r="J262" s="75" t="n"/>
    </row>
    <row r="263" ht="15" customHeight="1" s="52">
      <c r="A263" s="56" t="n"/>
      <c r="B263" s="74" t="n"/>
      <c r="C263" s="58" t="n"/>
      <c r="D263" s="56" t="n"/>
      <c r="E263" s="56" t="n"/>
      <c r="F263" s="56" t="n"/>
      <c r="G263" s="57" t="n"/>
      <c r="H263" s="56" t="n"/>
      <c r="I263" s="56" t="n"/>
      <c r="J263" s="74" t="n"/>
    </row>
    <row r="264" ht="15" customHeight="1" s="52">
      <c r="A264" s="61" t="n"/>
      <c r="B264" s="75" t="n"/>
      <c r="C264" s="63" t="n"/>
      <c r="D264" s="61" t="n"/>
      <c r="E264" s="61" t="n"/>
      <c r="F264" s="61" t="n"/>
      <c r="G264" s="62" t="n"/>
      <c r="H264" s="61" t="n"/>
      <c r="I264" s="61" t="n"/>
      <c r="J264" s="75" t="n"/>
    </row>
    <row r="265" ht="15" customHeight="1" s="52">
      <c r="A265" s="56" t="n"/>
      <c r="B265" s="74" t="n"/>
      <c r="C265" s="58" t="n"/>
      <c r="D265" s="56" t="n"/>
      <c r="E265" s="56" t="n"/>
      <c r="F265" s="56" t="n"/>
      <c r="G265" s="57" t="n"/>
      <c r="H265" s="56" t="n"/>
      <c r="I265" s="56" t="n"/>
      <c r="J265" s="74" t="n"/>
    </row>
    <row r="266" ht="15" customHeight="1" s="52">
      <c r="A266" s="61" t="n"/>
      <c r="B266" s="75" t="n"/>
      <c r="C266" s="63" t="n"/>
      <c r="D266" s="61" t="n"/>
      <c r="E266" s="61" t="n"/>
      <c r="F266" s="61" t="n"/>
      <c r="G266" s="62" t="n"/>
      <c r="H266" s="61" t="n"/>
      <c r="I266" s="61" t="n"/>
      <c r="J266" s="75" t="n"/>
    </row>
    <row r="267" ht="15" customHeight="1" s="52">
      <c r="A267" s="56" t="n"/>
      <c r="B267" s="74" t="n"/>
      <c r="C267" s="58" t="n"/>
      <c r="D267" s="56" t="n"/>
      <c r="E267" s="56" t="n"/>
      <c r="F267" s="56" t="n"/>
      <c r="G267" s="57" t="n"/>
      <c r="H267" s="56" t="n"/>
      <c r="I267" s="56" t="n"/>
      <c r="J267" s="74" t="n"/>
    </row>
    <row r="268" ht="15" customHeight="1" s="52">
      <c r="A268" s="61" t="n"/>
      <c r="B268" s="75" t="n"/>
      <c r="C268" s="63" t="n"/>
      <c r="D268" s="61" t="n"/>
      <c r="E268" s="61" t="n"/>
      <c r="F268" s="61" t="n"/>
      <c r="G268" s="62" t="n"/>
      <c r="H268" s="61" t="n"/>
      <c r="I268" s="61" t="n"/>
      <c r="J268" s="75" t="n"/>
    </row>
    <row r="269" ht="15" customHeight="1" s="52">
      <c r="A269" s="56" t="n"/>
      <c r="B269" s="74" t="n"/>
      <c r="C269" s="58" t="n"/>
      <c r="D269" s="56" t="n"/>
      <c r="E269" s="56" t="n"/>
      <c r="F269" s="56" t="n"/>
      <c r="G269" s="57" t="n"/>
      <c r="H269" s="56" t="n"/>
      <c r="I269" s="56" t="n"/>
      <c r="J269" s="74" t="n"/>
    </row>
    <row r="270" ht="15" customHeight="1" s="52">
      <c r="A270" s="61" t="n"/>
      <c r="B270" s="75" t="n"/>
      <c r="C270" s="63" t="n"/>
      <c r="D270" s="61" t="n"/>
      <c r="E270" s="61" t="n"/>
      <c r="F270" s="61" t="n"/>
      <c r="G270" s="62" t="n"/>
      <c r="H270" s="61" t="n"/>
      <c r="I270" s="61" t="n"/>
      <c r="J270" s="75" t="n"/>
    </row>
    <row r="271" ht="15" customHeight="1" s="52">
      <c r="A271" s="56" t="n"/>
      <c r="B271" s="74" t="n"/>
      <c r="C271" s="58" t="n"/>
      <c r="D271" s="56" t="n"/>
      <c r="E271" s="56" t="n"/>
      <c r="F271" s="56" t="n"/>
      <c r="G271" s="57" t="n"/>
      <c r="H271" s="56" t="n"/>
      <c r="I271" s="56" t="n"/>
      <c r="J271" s="74" t="n"/>
    </row>
    <row r="272" ht="15" customHeight="1" s="52">
      <c r="A272" s="61" t="n"/>
      <c r="B272" s="75" t="n"/>
      <c r="C272" s="63" t="n"/>
      <c r="D272" s="61" t="n"/>
      <c r="E272" s="61" t="n"/>
      <c r="F272" s="61" t="n"/>
      <c r="G272" s="62" t="n"/>
      <c r="H272" s="61" t="n"/>
      <c r="I272" s="61" t="n"/>
      <c r="J272" s="75" t="n"/>
    </row>
    <row r="273" ht="15" customHeight="1" s="52">
      <c r="A273" s="56" t="n"/>
      <c r="B273" s="74" t="n"/>
      <c r="C273" s="58" t="n"/>
      <c r="D273" s="56" t="n"/>
      <c r="E273" s="56" t="n"/>
      <c r="F273" s="56" t="n"/>
      <c r="G273" s="57" t="n"/>
      <c r="H273" s="56" t="n"/>
      <c r="I273" s="56" t="n"/>
      <c r="J273" s="74" t="n"/>
    </row>
    <row r="274" ht="15" customHeight="1" s="52">
      <c r="A274" s="61" t="n"/>
      <c r="B274" s="75" t="n"/>
      <c r="C274" s="63" t="n"/>
      <c r="D274" s="61" t="n"/>
      <c r="E274" s="61" t="n"/>
      <c r="F274" s="61" t="n"/>
      <c r="G274" s="62" t="n"/>
      <c r="H274" s="61" t="n"/>
      <c r="I274" s="61" t="n"/>
      <c r="J274" s="75" t="n"/>
    </row>
    <row r="275" ht="15" customHeight="1" s="52">
      <c r="A275" s="56" t="n"/>
      <c r="B275" s="74" t="n"/>
      <c r="C275" s="58" t="n"/>
      <c r="D275" s="56" t="n"/>
      <c r="E275" s="56" t="n"/>
      <c r="F275" s="56" t="n"/>
      <c r="G275" s="57" t="n"/>
      <c r="H275" s="56" t="n"/>
      <c r="I275" s="56" t="n"/>
      <c r="J275" s="74" t="n"/>
    </row>
    <row r="276" ht="15" customHeight="1" s="52">
      <c r="A276" s="61" t="n"/>
      <c r="B276" s="75" t="n"/>
      <c r="C276" s="63" t="n"/>
      <c r="D276" s="61" t="n"/>
      <c r="E276" s="61" t="n"/>
      <c r="F276" s="61" t="n"/>
      <c r="G276" s="62" t="n"/>
      <c r="H276" s="61" t="n"/>
      <c r="I276" s="61" t="n"/>
      <c r="J276" s="75" t="n"/>
    </row>
    <row r="277" ht="15" customHeight="1" s="52">
      <c r="A277" s="56" t="n"/>
      <c r="B277" s="74" t="n"/>
      <c r="C277" s="58" t="n"/>
      <c r="D277" s="56" t="n"/>
      <c r="E277" s="56" t="n"/>
      <c r="F277" s="56" t="n"/>
      <c r="G277" s="57" t="n"/>
      <c r="H277" s="56" t="n"/>
      <c r="I277" s="56" t="n"/>
      <c r="J277" s="74" t="n"/>
    </row>
    <row r="278" ht="15" customHeight="1" s="52">
      <c r="A278" s="61" t="n"/>
      <c r="B278" s="75" t="n"/>
      <c r="C278" s="63" t="n"/>
      <c r="D278" s="61" t="n"/>
      <c r="E278" s="61" t="n"/>
      <c r="F278" s="61" t="n"/>
      <c r="G278" s="62" t="n"/>
      <c r="H278" s="61" t="n"/>
      <c r="I278" s="61" t="n"/>
      <c r="J278" s="75" t="n"/>
    </row>
    <row r="279" ht="15" customHeight="1" s="52">
      <c r="A279" s="56" t="n"/>
      <c r="B279" s="74" t="n"/>
      <c r="C279" s="58" t="n"/>
      <c r="D279" s="56" t="n"/>
      <c r="E279" s="56" t="n"/>
      <c r="F279" s="56" t="n"/>
      <c r="G279" s="57" t="n"/>
      <c r="H279" s="56" t="n"/>
      <c r="I279" s="56" t="n"/>
      <c r="J279" s="74" t="n"/>
    </row>
    <row r="280" ht="15" customHeight="1" s="52">
      <c r="A280" s="61" t="n"/>
      <c r="B280" s="75" t="n"/>
      <c r="C280" s="63" t="n"/>
      <c r="D280" s="61" t="n"/>
      <c r="E280" s="61" t="n"/>
      <c r="F280" s="61" t="n"/>
      <c r="G280" s="62" t="n"/>
      <c r="H280" s="61" t="n"/>
      <c r="I280" s="61" t="n"/>
      <c r="J280" s="75" t="n"/>
    </row>
    <row r="281" ht="15" customHeight="1" s="52">
      <c r="A281" s="56" t="n"/>
      <c r="B281" s="74" t="n"/>
      <c r="C281" s="58" t="n"/>
      <c r="D281" s="56" t="n"/>
      <c r="E281" s="56" t="n"/>
      <c r="F281" s="56" t="n"/>
      <c r="G281" s="57" t="n"/>
      <c r="H281" s="56" t="n"/>
      <c r="I281" s="56" t="n"/>
      <c r="J281" s="74" t="n"/>
    </row>
    <row r="282" ht="15" customHeight="1" s="52">
      <c r="A282" s="61" t="n"/>
      <c r="B282" s="75" t="n"/>
      <c r="C282" s="63" t="n"/>
      <c r="D282" s="61" t="n"/>
      <c r="E282" s="61" t="n"/>
      <c r="F282" s="61" t="n"/>
      <c r="G282" s="62" t="n"/>
      <c r="H282" s="61" t="n"/>
      <c r="I282" s="61" t="n"/>
      <c r="J282" s="75" t="n"/>
    </row>
    <row r="283" ht="15" customHeight="1" s="52">
      <c r="A283" s="56" t="n"/>
      <c r="B283" s="74" t="n"/>
      <c r="C283" s="58" t="n"/>
      <c r="D283" s="56" t="n"/>
      <c r="E283" s="56" t="n"/>
      <c r="F283" s="56" t="n"/>
      <c r="G283" s="57" t="n"/>
      <c r="H283" s="56" t="n"/>
      <c r="I283" s="56" t="n"/>
      <c r="J283" s="74" t="n"/>
    </row>
    <row r="284" ht="15" customHeight="1" s="52">
      <c r="A284" s="61" t="n"/>
      <c r="B284" s="75" t="n"/>
      <c r="C284" s="63" t="n"/>
      <c r="D284" s="61" t="n"/>
      <c r="E284" s="61" t="n"/>
      <c r="F284" s="61" t="n"/>
      <c r="G284" s="62" t="n"/>
      <c r="H284" s="61" t="n"/>
      <c r="I284" s="61" t="n"/>
      <c r="J284" s="75" t="n"/>
    </row>
    <row r="285" ht="15" customHeight="1" s="52">
      <c r="A285" s="56" t="n"/>
      <c r="B285" s="74" t="n"/>
      <c r="C285" s="58" t="n"/>
      <c r="D285" s="56" t="n"/>
      <c r="E285" s="56" t="n"/>
      <c r="F285" s="56" t="n"/>
      <c r="G285" s="57" t="n"/>
      <c r="H285" s="56" t="n"/>
      <c r="I285" s="56" t="n"/>
      <c r="J285" s="74" t="n"/>
    </row>
    <row r="286" ht="15" customHeight="1" s="52">
      <c r="A286" s="61" t="n"/>
      <c r="B286" s="75" t="n"/>
      <c r="C286" s="63" t="n"/>
      <c r="D286" s="61" t="n"/>
      <c r="E286" s="61" t="n"/>
      <c r="F286" s="61" t="n"/>
      <c r="G286" s="62" t="n"/>
      <c r="H286" s="61" t="n"/>
      <c r="I286" s="61" t="n"/>
      <c r="J286" s="75" t="n"/>
    </row>
    <row r="287" ht="15" customHeight="1" s="52">
      <c r="A287" s="56" t="n"/>
      <c r="B287" s="74" t="n"/>
      <c r="C287" s="58" t="n"/>
      <c r="D287" s="56" t="n"/>
      <c r="E287" s="56" t="n"/>
      <c r="F287" s="56" t="n"/>
      <c r="G287" s="57" t="n"/>
      <c r="H287" s="56" t="n"/>
      <c r="I287" s="56" t="n"/>
      <c r="J287" s="74" t="n"/>
    </row>
    <row r="288" ht="15" customHeight="1" s="52">
      <c r="A288" s="61" t="n"/>
      <c r="B288" s="75" t="n"/>
      <c r="C288" s="63" t="n"/>
      <c r="D288" s="61" t="n"/>
      <c r="E288" s="61" t="n"/>
      <c r="F288" s="61" t="n"/>
      <c r="G288" s="62" t="n"/>
      <c r="H288" s="61" t="n"/>
      <c r="I288" s="61" t="n"/>
      <c r="J288" s="75" t="n"/>
    </row>
    <row r="289" ht="15" customHeight="1" s="52">
      <c r="A289" s="56" t="n"/>
      <c r="B289" s="74" t="n"/>
      <c r="C289" s="58" t="n"/>
      <c r="D289" s="56" t="n"/>
      <c r="E289" s="56" t="n"/>
      <c r="F289" s="56" t="n"/>
      <c r="G289" s="57" t="n"/>
      <c r="H289" s="56" t="n"/>
      <c r="I289" s="56" t="n"/>
      <c r="J289" s="74" t="n"/>
    </row>
    <row r="290" ht="15" customHeight="1" s="52">
      <c r="A290" s="61" t="n"/>
      <c r="B290" s="75" t="n"/>
      <c r="C290" s="63" t="n"/>
      <c r="D290" s="61" t="n"/>
      <c r="E290" s="61" t="n"/>
      <c r="F290" s="61" t="n"/>
      <c r="G290" s="62" t="n"/>
      <c r="H290" s="61" t="n"/>
      <c r="I290" s="61" t="n"/>
      <c r="J290" s="75" t="n"/>
    </row>
    <row r="291" ht="15" customHeight="1" s="52">
      <c r="A291" s="56" t="n"/>
      <c r="B291" s="74" t="n"/>
      <c r="C291" s="58" t="n"/>
      <c r="D291" s="56" t="n"/>
      <c r="E291" s="56" t="n"/>
      <c r="F291" s="56" t="n"/>
      <c r="G291" s="57" t="n"/>
      <c r="H291" s="56" t="n"/>
      <c r="I291" s="56" t="n"/>
      <c r="J291" s="74" t="n"/>
    </row>
    <row r="292" ht="15" customHeight="1" s="52">
      <c r="A292" s="61" t="n"/>
      <c r="B292" s="75" t="n"/>
      <c r="C292" s="63" t="n"/>
      <c r="D292" s="61" t="n"/>
      <c r="E292" s="61" t="n"/>
      <c r="F292" s="61" t="n"/>
      <c r="G292" s="62" t="n"/>
      <c r="H292" s="61" t="n"/>
      <c r="I292" s="61" t="n"/>
      <c r="J292" s="75" t="n"/>
    </row>
    <row r="293" ht="15" customHeight="1" s="52">
      <c r="A293" s="56" t="n"/>
      <c r="B293" s="74" t="n"/>
      <c r="C293" s="58" t="n"/>
      <c r="D293" s="56" t="n"/>
      <c r="E293" s="56" t="n"/>
      <c r="F293" s="56" t="n"/>
      <c r="G293" s="57" t="n"/>
      <c r="H293" s="56" t="n"/>
      <c r="I293" s="56" t="n"/>
      <c r="J293" s="74" t="n"/>
    </row>
    <row r="294" ht="15" customHeight="1" s="52">
      <c r="A294" s="61" t="n"/>
      <c r="B294" s="75" t="n"/>
      <c r="C294" s="63" t="n"/>
      <c r="D294" s="61" t="n"/>
      <c r="E294" s="61" t="n"/>
      <c r="F294" s="61" t="n"/>
      <c r="G294" s="62" t="n"/>
      <c r="H294" s="61" t="n"/>
      <c r="I294" s="61" t="n"/>
      <c r="J294" s="75" t="n"/>
    </row>
    <row r="295" ht="15" customHeight="1" s="52">
      <c r="A295" s="56" t="n"/>
      <c r="B295" s="74" t="n"/>
      <c r="C295" s="58" t="n"/>
      <c r="D295" s="56" t="n"/>
      <c r="E295" s="56" t="n"/>
      <c r="F295" s="56" t="n"/>
      <c r="G295" s="57" t="n"/>
      <c r="H295" s="56" t="n"/>
      <c r="I295" s="56" t="n"/>
      <c r="J295" s="74" t="n"/>
    </row>
    <row r="296" ht="15" customHeight="1" s="52">
      <c r="A296" s="61" t="n"/>
      <c r="B296" s="75" t="n"/>
      <c r="C296" s="63" t="n"/>
      <c r="D296" s="61" t="n"/>
      <c r="E296" s="61" t="n"/>
      <c r="F296" s="61" t="n"/>
      <c r="G296" s="62" t="n"/>
      <c r="H296" s="61" t="n"/>
      <c r="I296" s="61" t="n"/>
      <c r="J296" s="75" t="n"/>
    </row>
    <row r="297" ht="15" customHeight="1" s="52">
      <c r="A297" s="56" t="n"/>
      <c r="B297" s="74" t="n"/>
      <c r="C297" s="58" t="n"/>
      <c r="D297" s="56" t="n"/>
      <c r="E297" s="56" t="n"/>
      <c r="F297" s="56" t="n"/>
      <c r="G297" s="57" t="n"/>
      <c r="H297" s="56" t="n"/>
      <c r="I297" s="56" t="n"/>
      <c r="J297" s="74" t="n"/>
    </row>
    <row r="298" ht="15" customHeight="1" s="52">
      <c r="A298" s="61" t="n"/>
      <c r="B298" s="75" t="n"/>
      <c r="C298" s="63" t="n"/>
      <c r="D298" s="61" t="n"/>
      <c r="E298" s="61" t="n"/>
      <c r="F298" s="61" t="n"/>
      <c r="G298" s="62" t="n"/>
      <c r="H298" s="61" t="n"/>
      <c r="I298" s="61" t="n"/>
      <c r="J298" s="75" t="n"/>
    </row>
    <row r="299" ht="15" customHeight="1" s="52">
      <c r="A299" s="56" t="n"/>
      <c r="B299" s="74" t="n"/>
      <c r="C299" s="58" t="n"/>
      <c r="D299" s="56" t="n"/>
      <c r="E299" s="56" t="n"/>
      <c r="F299" s="56" t="n"/>
      <c r="G299" s="57" t="n"/>
      <c r="H299" s="56" t="n"/>
      <c r="I299" s="56" t="n"/>
      <c r="J299" s="74" t="n"/>
    </row>
    <row r="300" ht="15" customHeight="1" s="52">
      <c r="A300" s="61" t="n"/>
      <c r="B300" s="75" t="n"/>
      <c r="C300" s="63" t="n"/>
      <c r="D300" s="61" t="n"/>
      <c r="E300" s="61" t="n"/>
      <c r="F300" s="61" t="n"/>
      <c r="G300" s="62" t="n"/>
      <c r="H300" s="61" t="n"/>
      <c r="I300" s="61" t="n"/>
      <c r="J300" s="75" t="n"/>
    </row>
  </sheetData>
  <autoFilter ref="A3:J300"/>
  <mergeCells count="2">
    <mergeCell ref="A1:J1"/>
    <mergeCell ref="A2:J2"/>
  </mergeCells>
  <conditionalFormatting sqref="E4:E300">
    <cfRule type="cellIs" rank="0" priority="2" equalAverage="0" operator="equal" aboveAverage="0" dxfId="7" text="" percent="0" bottom="0">
      <formula>"FAILURE"</formula>
    </cfRule>
    <cfRule type="cellIs" rank="0" priority="3" equalAverage="0" operator="equal" aboveAverage="0" dxfId="10" text="" percent="0" bottom="0">
      <formula>"REPLACEMENT"</formula>
    </cfRule>
  </conditionalFormatting>
  <dataValidations count="4">
    <dataValidation sqref="A4:A300" showDropDown="0" showInputMessage="0" showErrorMessage="0" allowBlank="1" type="list" errorStyle="stop" operator="between">
      <formula1>"COLDRV1 22 TOY COR,COLDRV2 17 NISSAN ALTIMA,COLDRV3 17 TOY PRIUS,COLDRV4 2015 HONDA ACCORD,COLDRV5 18 HONDA ACCORD,COLDRV8 21 TOY COR"</formula1>
      <formula2>0</formula2>
    </dataValidation>
    <dataValidation sqref="D4:D300" showDropDown="0" showInputMessage="0" showErrorMessage="0" allowBlank="1" type="list" errorStyle="stop" operator="between">
      <formula1>"Engine,Transmission,Cooling System,Brakes,Suspension,Steering,Electrical,AC / HVAC,Exhaust,Fuel System,Tires,Battery,Alternator / Starter,Body / Frame,Other"</formula1>
      <formula2>0</formula2>
    </dataValidation>
    <dataValidation sqref="E4:E300" showDropDown="0" showInputMessage="0" showErrorMessage="0" allowBlank="1" type="list" errorStyle="stop" operator="between">
      <formula1>"FAILURE,REPAIR,REPLACEMENT,INSPECTION,PREVENTIVE"</formula1>
      <formula2>0</formula2>
    </dataValidation>
    <dataValidation sqref="I4:I300" showDropDown="0" showInputMessage="0" showErrorMessage="0" allowBlank="1" type="list" errorStyle="stop" operator="between">
      <formula1>"YES,NO"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tabColor rgb="FFA0AEC0"/>
    <outlinePr summaryBelow="1" summaryRight="1"/>
    <pageSetUpPr fitToPage="0"/>
  </sheetPr>
  <dimension ref="A1:C18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0" customWidth="1" style="51" min="1" max="1"/>
    <col width="70" customWidth="1" style="51" min="2" max="2"/>
    <col width="30" customWidth="1" style="51" min="3" max="3"/>
  </cols>
  <sheetData>
    <row r="1" ht="42" customHeight="1" s="52">
      <c r="A1" s="53" t="inlineStr">
        <is>
          <t>SERVICE CATEGORY REFERENCE GUIDE</t>
        </is>
      </c>
    </row>
    <row r="2" ht="24" customHeight="1" s="52">
      <c r="A2" s="54" t="inlineStr">
        <is>
          <t>Use this guide when choosing a Service Category on the Service Log</t>
        </is>
      </c>
    </row>
    <row r="4" ht="15" customHeight="1" s="52">
      <c r="A4" s="55" t="inlineStr">
        <is>
          <t>CATEGORY</t>
        </is>
      </c>
      <c r="B4" s="55" t="inlineStr">
        <is>
          <t>INCLUDES</t>
        </is>
      </c>
      <c r="C4" s="55" t="inlineStr">
        <is>
          <t>TYPICAL EXAMPLES</t>
        </is>
      </c>
    </row>
    <row r="5" ht="39.75" customHeight="1" s="52">
      <c r="A5" s="101" t="inlineStr">
        <is>
          <t>Routine / Wear Items</t>
        </is>
      </c>
      <c r="B5" s="61" t="inlineStr">
        <is>
          <t>Oil, filters, brakes, tires, bulbs, battery, wipers, alignments</t>
        </is>
      </c>
      <c r="C5" s="61" t="inlineStr">
        <is>
          <t>Oil changes, brake pads, new tires, headlight bulbs, wiper blades, battery replacement, alignment</t>
        </is>
      </c>
    </row>
    <row r="6" ht="39.75" customHeight="1" s="52">
      <c r="A6" s="102" t="inlineStr">
        <is>
          <t>Engine &amp; Cooling</t>
        </is>
      </c>
      <c r="B6" s="56" t="inlineStr">
        <is>
          <t>Engine internals, leaks, radiator, water pump, overheating, mounts</t>
        </is>
      </c>
      <c r="C6" s="56" t="inlineStr">
        <is>
          <t>Head gasket, radiator flush, water pump, thermostat, coolant leak repair, motor mount</t>
        </is>
      </c>
    </row>
    <row r="7" ht="39.75" customHeight="1" s="52">
      <c r="A7" s="101" t="inlineStr">
        <is>
          <t>Transmission &amp; Drivetrain</t>
        </is>
      </c>
      <c r="B7" s="61" t="inlineStr">
        <is>
          <t>Transmission, CV axles, torque converter, differential</t>
        </is>
      </c>
      <c r="C7" s="61" t="inlineStr">
        <is>
          <t>Transmission fluid, CV axle boot, torque converter, clutch, differential service</t>
        </is>
      </c>
    </row>
    <row r="8" ht="39.75" customHeight="1" s="52">
      <c r="A8" s="102" t="inlineStr">
        <is>
          <t>Steering &amp; Suspension</t>
        </is>
      </c>
      <c r="B8" s="56" t="inlineStr">
        <is>
          <t>Struts, control arms, wheel bearings, steering rack</t>
        </is>
      </c>
      <c r="C8" s="56" t="inlineStr">
        <is>
          <t>Strut replacement, control arm bushings, wheel bearing, tie rod, power steering</t>
        </is>
      </c>
    </row>
    <row r="9" ht="39.75" customHeight="1" s="52">
      <c r="A9" s="101" t="inlineStr">
        <is>
          <t>Electrical &amp; Other Major</t>
        </is>
      </c>
      <c r="B9" s="61" t="inlineStr">
        <is>
          <t>Alternator, starter, AC, sensors, catalytic converter, wiring</t>
        </is>
      </c>
      <c r="C9" s="61" t="inlineStr">
        <is>
          <t>Alternator, starter motor, AC recharge/compressor, O2 sensor, catalytic converter, wiring harness</t>
        </is>
      </c>
    </row>
    <row r="12" ht="15" customHeight="1" s="52">
      <c r="A12" s="90" t="inlineStr">
        <is>
          <t>FLEET VEHICLES</t>
        </is>
      </c>
    </row>
    <row r="13" ht="15" customHeight="1" s="52">
      <c r="A13" s="103" t="inlineStr">
        <is>
          <t>COLDRV1 22 TOY COR</t>
        </is>
      </c>
    </row>
    <row r="14" ht="15" customHeight="1" s="52">
      <c r="A14" s="104" t="inlineStr">
        <is>
          <t>COLDRV2 17 NISSAN ALTIMA</t>
        </is>
      </c>
    </row>
    <row r="15" ht="15" customHeight="1" s="52">
      <c r="A15" s="103" t="inlineStr">
        <is>
          <t>COLDRV3 17 TOY PRIUS</t>
        </is>
      </c>
    </row>
    <row r="16" ht="15" customHeight="1" s="52">
      <c r="A16" s="104" t="inlineStr">
        <is>
          <t>COLDRV4 2015 HONDA ACCORD</t>
        </is>
      </c>
    </row>
    <row r="17" ht="15" customHeight="1" s="52">
      <c r="A17" s="103" t="inlineStr">
        <is>
          <t>COLDRV5 18 HONDA ACCORD</t>
        </is>
      </c>
    </row>
    <row r="18" ht="15" customHeight="1" s="52">
      <c r="A18" s="104" t="inlineStr">
        <is>
          <t>COLDRV8 21 TOY COR</t>
        </is>
      </c>
    </row>
  </sheetData>
  <mergeCells count="2">
    <mergeCell ref="A1:C1"/>
    <mergeCell ref="A2:C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2026-03-14T20:56:28Z</dcterms:created>
  <dcterms:modified xmlns:dcterms="http://purl.org/dc/terms/" xmlns:xsi="http://www.w3.org/2001/XMLSchema-instance" xsi:type="dcterms:W3CDTF">2026-03-15T16:02:13Z</dcterms:modified>
  <cp:revision>0</cp:revision>
</cp:coreProperties>
</file>